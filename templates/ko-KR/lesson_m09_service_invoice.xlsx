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  <definedName name="_xlnm.Print_Area" localSheetId="0">'Template'!$A$1:$H$38</definedName>
    <definedName name="_xlnm.Print_Area" localSheetId="1">'Target'!$A$1:$H$38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 &quot;¥&quot;* #,##0.00_ ;_ &quot;¥&quot;* \-#,##0.00_ ;_ &quot;¥&quot;* &quot;-&quot;??_ ;_ @_ "/>
    <numFmt numFmtId="166" formatCode="_ * #,##0.00_ ;_ * \-#,##0.00_ ;_ * &quot;-&quot;??_ ;_ @_ "/>
  </numFmts>
  <fonts count="35">
    <font>
      <name val="Microsoft YaHei UI"/>
      <family val="2"/>
      <sz val="11"/>
    </font>
    <font>
      <name val="宋体"/>
      <family val="2"/>
      <sz val="11"/>
      <scheme val="minor"/>
    </font>
    <font>
      <name val="Microsoft YaHei UI"/>
      <family val="2"/>
      <color indexed="8"/>
      <sz val="11"/>
    </font>
    <font>
      <name val="Microsoft YaHei UI"/>
      <family val="2"/>
      <color indexed="9"/>
      <sz val="11"/>
    </font>
    <font>
      <name val="Microsoft YaHei UI"/>
      <family val="2"/>
      <color indexed="36"/>
      <sz val="11"/>
    </font>
    <font>
      <name val="Microsoft YaHei UI"/>
      <family val="2"/>
      <b val="1"/>
      <color indexed="50"/>
      <sz val="11"/>
    </font>
    <font>
      <name val="Microsoft YaHei UI"/>
      <family val="2"/>
      <b val="1"/>
      <color indexed="9"/>
      <sz val="11"/>
    </font>
    <font>
      <name val="Microsoft YaHei UI"/>
      <family val="2"/>
      <sz val="11"/>
    </font>
    <font>
      <name val="Microsoft YaHei UI"/>
      <family val="2"/>
      <i val="1"/>
      <color indexed="23"/>
      <sz val="11"/>
    </font>
    <font>
      <name val="Microsoft YaHei UI"/>
      <family val="2"/>
      <color theme="11"/>
      <sz val="10"/>
      <u val="single"/>
    </font>
    <font>
      <name val="Microsoft YaHei UI"/>
      <family val="2"/>
      <color indexed="17"/>
      <sz val="11"/>
    </font>
    <font>
      <name val="Microsoft YaHei UI"/>
      <family val="2"/>
      <b val="1"/>
      <color indexed="18"/>
      <sz val="15"/>
    </font>
    <font>
      <name val="Microsoft YaHei UI"/>
      <family val="2"/>
      <b val="1"/>
      <color indexed="18"/>
      <sz val="13"/>
    </font>
    <font>
      <name val="Microsoft YaHei UI"/>
      <family val="2"/>
      <b val="1"/>
      <color indexed="18"/>
      <sz val="11"/>
    </font>
    <font>
      <name val="Microsoft YaHei UI"/>
      <family val="2"/>
      <color indexed="12"/>
      <sz val="10"/>
      <u val="single"/>
    </font>
    <font>
      <name val="Microsoft YaHei UI"/>
      <family val="2"/>
      <color indexed="53"/>
      <sz val="11"/>
    </font>
    <font>
      <name val="Microsoft YaHei UI"/>
      <family val="2"/>
      <color indexed="50"/>
      <sz val="11"/>
    </font>
    <font>
      <name val="Microsoft YaHei UI"/>
      <family val="2"/>
      <color indexed="59"/>
      <sz val="11"/>
    </font>
    <font>
      <name val="Microsoft YaHei UI"/>
      <family val="2"/>
      <sz val="10"/>
    </font>
    <font>
      <name val="Microsoft YaHei UI"/>
      <family val="2"/>
      <b val="1"/>
      <color indexed="63"/>
      <sz val="11"/>
    </font>
    <font>
      <name val="Microsoft YaHei UI"/>
      <family val="2"/>
      <b val="1"/>
      <color indexed="18"/>
      <sz val="18"/>
    </font>
    <font>
      <name val="Microsoft YaHei UI"/>
      <family val="2"/>
      <b val="1"/>
      <color indexed="8"/>
      <sz val="11"/>
    </font>
    <font>
      <name val="Microsoft YaHei UI"/>
      <family val="2"/>
      <color indexed="10"/>
      <sz val="11"/>
    </font>
    <font>
      <name val="Microsoft YaHei UI"/>
      <family val="2"/>
      <b val="1"/>
      <color theme="4" tint="-0.499984740745262"/>
      <sz val="20"/>
    </font>
    <font>
      <name val="Microsoft YaHei UI"/>
      <family val="2"/>
      <sz val="16"/>
    </font>
    <font>
      <name val="Microsoft YaHei UI"/>
      <family val="2"/>
      <b val="1"/>
      <color theme="4" tint="-0.249977111117893"/>
      <sz val="36"/>
    </font>
    <font>
      <name val="Microsoft YaHei UI"/>
      <family val="2"/>
      <b val="1"/>
      <sz val="11"/>
    </font>
    <font>
      <name val="Microsoft YaHei UI"/>
      <family val="2"/>
      <b val="1"/>
      <color theme="0"/>
      <sz val="11"/>
    </font>
    <font>
      <name val="Microsoft YaHei UI"/>
      <family val="2"/>
      <b val="1"/>
      <i val="1"/>
      <color theme="4" tint="-0.249977111117893"/>
      <sz val="12"/>
    </font>
    <font>
      <name val="Microsoft YaHei UI"/>
      <family val="2"/>
      <sz val="12"/>
    </font>
    <font>
      <name val="Microsoft YaHei UI"/>
      <family val="2"/>
      <b val="1"/>
      <color theme="4" tint="-0.499984740745262"/>
      <sz val="14"/>
    </font>
    <font>
      <name val="Microsoft YaHei UI"/>
      <family val="2"/>
      <b val="1"/>
      <sz val="14"/>
    </font>
    <font>
      <name val="Microsoft YaHei UI"/>
      <family val="2"/>
      <b val="1"/>
      <sz val="12"/>
    </font>
    <font>
      <name val="Microsoft YaHei UI"/>
      <family val="2"/>
      <b val="1"/>
      <sz val="10"/>
    </font>
    <font>
      <name val="宋体"/>
      <charset val="134"/>
      <family val="3"/>
      <sz val="9"/>
    </font>
  </fonts>
  <fills count="25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"/>
      </bottom>
      <diagonal/>
    </border>
  </borders>
  <cellStyleXfs count="50">
    <xf numFmtId="0" fontId="7" fillId="0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7" borderId="0"/>
    <xf numFmtId="0" fontId="2" fillId="6" borderId="0"/>
    <xf numFmtId="0" fontId="2" fillId="4" borderId="0"/>
    <xf numFmtId="0" fontId="2" fillId="5" borderId="0"/>
    <xf numFmtId="0" fontId="3" fillId="8" borderId="0"/>
    <xf numFmtId="0" fontId="3" fillId="9" borderId="0"/>
    <xf numFmtId="0" fontId="3" fillId="9" borderId="0"/>
    <xf numFmtId="0" fontId="3" fillId="8" borderId="0"/>
    <xf numFmtId="0" fontId="3" fillId="10" borderId="0"/>
    <xf numFmtId="0" fontId="3" fillId="11" borderId="0"/>
    <xf numFmtId="0" fontId="3" fillId="10" borderId="0"/>
    <xf numFmtId="0" fontId="3" fillId="12" borderId="0"/>
    <xf numFmtId="0" fontId="3" fillId="9" borderId="0"/>
    <xf numFmtId="0" fontId="3" fillId="13" borderId="0"/>
    <xf numFmtId="0" fontId="3" fillId="14" borderId="0"/>
    <xf numFmtId="0" fontId="3" fillId="15" borderId="0"/>
    <xf numFmtId="0" fontId="4" fillId="16" borderId="0"/>
    <xf numFmtId="0" fontId="5" fillId="17" borderId="1"/>
    <xf numFmtId="0" fontId="6" fillId="18" borderId="2"/>
    <xf numFmtId="0" fontId="8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9" fillId="0" borderId="0"/>
    <xf numFmtId="0" fontId="18" fillId="0" borderId="0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0" hidden="0"/>
    </xf>
    <xf numFmtId="0" fontId="27" fillId="22" borderId="0" applyAlignment="1" pivotButton="0" quotePrefix="0" xfId="0">
      <alignment horizontal="center" vertical="center"/>
    </xf>
    <xf numFmtId="14" fontId="2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7" fillId="2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vertical="center"/>
    </xf>
    <xf numFmtId="0" fontId="18" fillId="23" borderId="19" applyAlignment="1" applyProtection="1" pivotButton="0" quotePrefix="0" xfId="0">
      <alignment vertical="center"/>
      <protection locked="0" hidden="0"/>
    </xf>
    <xf numFmtId="0" fontId="18" fillId="23" borderId="10" applyAlignment="1" applyProtection="1" pivotButton="0" quotePrefix="0" xfId="0">
      <alignment vertical="center"/>
      <protection locked="0" hidden="0"/>
    </xf>
    <xf numFmtId="0" fontId="18" fillId="23" borderId="11" applyAlignment="1" applyProtection="1" pivotButton="0" quotePrefix="0" xfId="0">
      <alignment horizontal="center" vertical="center"/>
      <protection locked="0" hidden="0"/>
    </xf>
    <xf numFmtId="0" fontId="18" fillId="0" borderId="20" applyAlignment="1" applyProtection="1" pivotButton="0" quotePrefix="0" xfId="0">
      <alignment vertical="center"/>
      <protection locked="0" hidden="0"/>
    </xf>
    <xf numFmtId="0" fontId="18" fillId="0" borderId="13" applyAlignment="1" applyProtection="1" pivotButton="0" quotePrefix="0" xfId="0">
      <alignment vertical="center"/>
      <protection locked="0" hidden="0"/>
    </xf>
    <xf numFmtId="0" fontId="18" fillId="0" borderId="14" applyAlignment="1" applyProtection="1" pivotButton="0" quotePrefix="0" xfId="0">
      <alignment horizontal="center" vertical="center"/>
      <protection locked="0" hidden="0"/>
    </xf>
    <xf numFmtId="10" fontId="18" fillId="0" borderId="14" applyAlignment="1" applyProtection="1" pivotButton="0" quotePrefix="0" xfId="0">
      <alignment horizontal="center" vertical="center"/>
      <protection locked="0" hidden="0"/>
    </xf>
    <xf numFmtId="0" fontId="18" fillId="0" borderId="21" applyAlignment="1" applyProtection="1" pivotButton="0" quotePrefix="0" xfId="0">
      <alignment vertical="center"/>
      <protection locked="0" hidden="0"/>
    </xf>
    <xf numFmtId="0" fontId="18" fillId="0" borderId="16" applyAlignment="1" applyProtection="1" pivotButton="0" quotePrefix="0" xfId="0">
      <alignment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29" fillId="21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 indent="1"/>
    </xf>
    <xf numFmtId="0" fontId="29" fillId="0" borderId="0" pivotButton="0" quotePrefix="0" xfId="0"/>
    <xf numFmtId="164" fontId="29" fillId="20" borderId="0" applyAlignment="1" pivotButton="0" quotePrefix="0" xfId="0">
      <alignment vertical="center"/>
    </xf>
    <xf numFmtId="0" fontId="30" fillId="21" borderId="0" applyAlignment="1" pivotButton="0" quotePrefix="0" xfId="0">
      <alignment horizontal="left" vertical="center" indent="1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5" applyAlignment="1" pivotButton="0" quotePrefix="0" xfId="0">
      <alignment vertical="center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vertical="center" indent="1"/>
    </xf>
    <xf numFmtId="0" fontId="28" fillId="24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5" applyAlignment="1" pivotButton="0" quotePrefix="0" xfId="0">
      <alignment vertical="center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164" fontId="29" fillId="20" borderId="0" applyAlignment="1" pivotButton="0" quotePrefix="0" xfId="0">
      <alignment vertical="center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</cellXfs>
  <cellStyles count="50">
    <cellStyle name="常规" xfId="0" builtinId="0"/>
    <cellStyle name="20% - 着色 1" xfId="1" builtinId="30"/>
    <cellStyle name="20% - 着色 2" xfId="2" builtinId="34"/>
    <cellStyle name="20% - 着色 3" xfId="3" builtinId="38"/>
    <cellStyle name="20% - 着色 4" xfId="4" builtinId="42"/>
    <cellStyle name="20% - 着色 5" xfId="5" builtinId="46"/>
    <cellStyle name="20% - 着色 6" xfId="6" builtinId="50"/>
    <cellStyle name="40% - 着色 1" xfId="7" builtinId="31"/>
    <cellStyle name="40% - 着色 2" xfId="8" builtinId="35"/>
    <cellStyle name="40% - 着色 3" xfId="9" builtinId="39"/>
    <cellStyle name="40% - 着色 4" xfId="10" builtinId="43"/>
    <cellStyle name="40% - 着色 5" xfId="11" builtinId="47"/>
    <cellStyle name="40% - 着色 6" xfId="12" builtinId="51"/>
    <cellStyle name="60% - 着色 1" xfId="13" builtinId="32"/>
    <cellStyle name="60% - 着色 2" xfId="14" builtinId="36"/>
    <cellStyle name="60% - 着色 3" xfId="15" builtinId="40"/>
    <cellStyle name="60% - 着色 4" xfId="16" builtinId="44"/>
    <cellStyle name="60% - 着色 5" xfId="17" builtinId="48"/>
    <cellStyle name="60% - 着色 6" xfId="18" builtinId="52"/>
    <cellStyle name="着色 1" xfId="19" builtinId="29"/>
    <cellStyle name="着色 2" xfId="20" builtinId="33"/>
    <cellStyle name="着色 3" xfId="21" builtinId="37"/>
    <cellStyle name="着色 4" xfId="22" builtinId="41"/>
    <cellStyle name="着色 5" xfId="23" builtinId="45"/>
    <cellStyle name="着色 6" xfId="24" builtinId="49"/>
    <cellStyle name="差" xfId="25" builtinId="27"/>
    <cellStyle name="计算" xfId="26" builtinId="22"/>
    <cellStyle name="检查单元格" xfId="27" builtinId="23"/>
    <cellStyle name="解释性文本" xfId="28" builtinId="53"/>
    <cellStyle name="好" xfId="29" builtinId="26"/>
    <cellStyle name="标题 1" xfId="30" builtinId="16"/>
    <cellStyle name="标题 2" xfId="31" builtinId="17"/>
    <cellStyle name="标题 3" xfId="32" builtinId="18"/>
    <cellStyle name="标题 4" xfId="33" builtinId="19"/>
    <cellStyle name="超链接" xfId="34" builtinId="8"/>
    <cellStyle name="输入" xfId="35" builtinId="20"/>
    <cellStyle name="链接单元格" xfId="36" builtinId="24"/>
    <cellStyle name="适中" xfId="37" builtinId="28"/>
    <cellStyle name="注释" xfId="38" builtinId="10"/>
    <cellStyle name="输出" xfId="39" builtinId="21"/>
    <cellStyle name="标题" xfId="40" builtinId="15"/>
    <cellStyle name="汇总" xfId="41" builtinId="25"/>
    <cellStyle name="警告文本" xfId="42" builtinId="11"/>
    <cellStyle name="已访问的超链接" xfId="43" builtinId="9"/>
    <cellStyle name="常规 2" xfId="44"/>
    <cellStyle name="千位分隔" xfId="45" builtinId="3"/>
    <cellStyle name="千位分隔[0]" xfId="46" builtinId="6"/>
    <cellStyle name="货币" xfId="47" builtinId="4"/>
    <cellStyle name="货币[0]" xfId="48" builtinId="7"/>
    <cellStyle name="百分比" xfId="4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I38"/>
  <sheetViews>
    <sheetView showGridLines="0" topLeftCell="A4" zoomScaleNormal="100" workbookViewId="0">
      <selection activeCell="A16" sqref="A16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{{ds.issuer_companyname}}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{{ds.issuer_address2}}</t>
        </is>
      </c>
      <c r="B2" s="6" t="n"/>
      <c r="C2" s="6" t="n"/>
      <c r="D2" s="7" t="n"/>
      <c r="E2" s="8" t="n"/>
    </row>
    <row r="3" ht="19.5" customHeight="1">
      <c r="A3" s="5" t="inlineStr">
        <is>
          <t>{{ds.issuer_address1}}</t>
        </is>
      </c>
      <c r="B3" s="7" t="n"/>
      <c r="C3" s="7" t="n"/>
      <c r="D3" s="7" t="n"/>
      <c r="E3" s="8" t="n"/>
    </row>
    <row r="4" ht="19.5" customHeight="1">
      <c r="A4" s="5" t="inlineStr">
        <is>
          <t>Phone: {{ds.issuer_telephone}}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날짜</t>
        </is>
      </c>
    </row>
    <row r="5" ht="19.5" customHeight="1">
      <c r="A5" s="7" t="n"/>
      <c r="B5" s="7" t="n"/>
      <c r="C5" s="7" t="n"/>
      <c r="D5" s="7" t="n"/>
      <c r="E5" s="8" t="n"/>
      <c r="F5" s="44" t="inlineStr">
        <is>
          <t>{{ds.invoice_number}}</t>
        </is>
      </c>
      <c r="G5" s="50" t="n"/>
      <c r="H5" s="10" t="inlineStr">
        <is>
          <t>{{ds.invoice_date}}</t>
        </is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{{ds.payee_name}}</t>
        </is>
      </c>
      <c r="B8" s="8" t="n"/>
      <c r="C8" s="8" t="n"/>
      <c r="D8" s="8" t="n"/>
      <c r="E8" s="11" t="n"/>
      <c r="F8" s="45" t="inlineStr">
        <is>
          <t>{{ds.invoice_customerid}}</t>
        </is>
      </c>
      <c r="H8" s="45" t="inlineStr">
        <is>
          <t>{{ds.invoice_clause}}</t>
        </is>
      </c>
    </row>
    <row r="9" ht="15.75" customHeight="1">
      <c r="A9" s="8" t="inlineStr">
        <is>
          <t>{{ds.payee_companyname}}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{{ds.payee_address2}}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{{ds.payee_address1}}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{{ds.payee_telephone}}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{{ds.payee_email}}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수량</t>
        </is>
      </c>
      <c r="G15" s="43" t="inlineStr">
        <is>
          <t>단가</t>
        </is>
      </c>
      <c r="H15" s="43" t="inlineStr">
        <is>
          <t>금액</t>
        </is>
      </c>
    </row>
    <row r="16" ht="20.25" customHeight="1">
      <c r="A16" s="15" t="inlineStr">
        <is>
          <t>{{ds.invoiceitem.description(FM=overwrite)}}</t>
        </is>
      </c>
      <c r="B16" s="15" t="n"/>
      <c r="C16" s="15" t="n"/>
      <c r="D16" s="15" t="n"/>
      <c r="E16" s="16" t="n"/>
      <c r="F16" s="17" t="inlineStr">
        <is>
          <t>{{ds.invoiceitem.qty}}</t>
        </is>
      </c>
      <c r="G16" s="51" t="inlineStr">
        <is>
          <t>{{ds.invoiceitem.unitprice}}</t>
        </is>
      </c>
      <c r="H16" s="52" t="inlineStr">
        <is>
          <t>{{==IF(F16="",ROUND(1*G16,2),ROUND(F16*G16,2))}}</t>
        </is>
      </c>
    </row>
    <row r="17" ht="20.25" customHeight="1">
      <c r="A17" s="18" t="n"/>
      <c r="B17" s="18" t="n"/>
      <c r="C17" s="18" t="n"/>
      <c r="D17" s="18" t="n"/>
      <c r="E17" s="19" t="n"/>
      <c r="F17" s="20" t="n"/>
      <c r="G17" s="53" t="n"/>
      <c r="H17" s="54" t="n"/>
    </row>
    <row r="18" ht="20.25" customHeight="1">
      <c r="A18" s="18" t="n"/>
      <c r="B18" s="18" t="n"/>
      <c r="C18" s="18" t="n"/>
      <c r="D18" s="18" t="n"/>
      <c r="E18" s="19" t="n"/>
      <c r="F18" s="20" t="n"/>
      <c r="G18" s="53" t="n"/>
      <c r="H18" s="54" t="n"/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 t="inlineStr">
        <is>
          <t>{{==SUM(H16:H30)}}</t>
        </is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세율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 t="inlineStr">
        <is>
          <t>{{==H31*H32}}</t>
        </is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합계</t>
        </is>
      </c>
      <c r="G34" s="30" t="n"/>
      <c r="H34" s="59" t="inlineStr">
        <is>
          <t>{{==H31+H33}}</t>
        </is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{{ds.contact}}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disablePrompts="1"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I38"/>
  <sheetViews>
    <sheetView showGridLines="0" tabSelected="1" topLeftCell="A2" zoomScaleNormal="100" workbookViewId="0">
      <selection activeCell="E10" sqref="E10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Contoso Services LLC</t>
        </is>
      </c>
      <c r="B1" s="4" t="n"/>
      <c r="C1" s="4" t="n"/>
      <c r="D1" s="4" t="n"/>
      <c r="E1" s="4" t="n"/>
      <c r="G1" s="41" t="inlineStr">
        <is>
          <t>INVOICE</t>
        </is>
      </c>
    </row>
    <row r="2" ht="19.5" customHeight="1">
      <c r="A2" s="5" t="inlineStr">
        <is>
          <t>123 Main Street</t>
        </is>
      </c>
      <c r="B2" s="6" t="n"/>
      <c r="C2" s="6" t="n"/>
      <c r="D2" s="7" t="n"/>
      <c r="E2" s="8" t="n"/>
    </row>
    <row r="3" ht="19.5" customHeight="1">
      <c r="A3" s="5" t="inlineStr">
        <is>
          <t>Redmond, WA 98052</t>
        </is>
      </c>
      <c r="B3" s="7" t="n"/>
      <c r="C3" s="7" t="n"/>
      <c r="D3" s="7" t="n"/>
      <c r="E3" s="8" t="n"/>
    </row>
    <row r="4" ht="19.5" customHeight="1">
      <c r="A4" s="5" t="inlineStr">
        <is>
          <t>Phone: (123) 456-7890</t>
        </is>
      </c>
      <c r="B4" s="8" t="n"/>
      <c r="C4" s="8" t="n"/>
      <c r="D4" s="7" t="n"/>
      <c r="E4" s="8" t="n"/>
      <c r="F4" s="43" t="inlineStr">
        <is>
          <t>Invoice #</t>
        </is>
      </c>
      <c r="H4" s="43" t="inlineStr">
        <is>
          <t>날짜</t>
        </is>
      </c>
    </row>
    <row r="5" ht="19.5" customHeight="1">
      <c r="A5" s="7" t="n"/>
      <c r="B5" s="7" t="n"/>
      <c r="C5" s="7" t="n"/>
      <c r="D5" s="7" t="n"/>
      <c r="E5" s="8" t="n"/>
      <c r="F5" s="44" t="n">
        <v>2034</v>
      </c>
      <c r="G5" s="50" t="n"/>
      <c r="H5" s="10" t="n">
        <v>43152</v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Bill To</t>
        </is>
      </c>
      <c r="D7" s="8" t="n"/>
      <c r="E7" s="11" t="n"/>
      <c r="F7" s="43" t="inlineStr">
        <is>
          <t>Customer ID</t>
        </is>
      </c>
      <c r="H7" s="43" t="inlineStr">
        <is>
          <t>Terms</t>
        </is>
      </c>
    </row>
    <row r="8" ht="15.75" customHeight="1">
      <c r="A8" s="8" t="inlineStr">
        <is>
          <t>Alex Rivera</t>
        </is>
      </c>
      <c r="B8" s="8" t="n"/>
      <c r="C8" s="8" t="n"/>
      <c r="D8" s="8" t="n"/>
      <c r="E8" s="11" t="n"/>
      <c r="F8" s="45" t="n">
        <v>564</v>
      </c>
      <c r="H8" s="45" t="inlineStr">
        <is>
          <t>Due on receipt</t>
        </is>
      </c>
    </row>
    <row r="9" ht="15.75" customHeight="1">
      <c r="A9" s="8" t="inlineStr">
        <is>
          <t>Fabrikam Inc.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456 Market Ave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Seattle, WA 98101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(206) 555-0100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alex@fabrikam.example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Description</t>
        </is>
      </c>
      <c r="B15" s="46" t="n"/>
      <c r="C15" s="46" t="n"/>
      <c r="D15" s="14" t="n"/>
      <c r="E15" s="14" t="n"/>
      <c r="F15" s="43" t="inlineStr">
        <is>
          <t>수량</t>
        </is>
      </c>
      <c r="G15" s="43" t="inlineStr">
        <is>
          <t>단가</t>
        </is>
      </c>
      <c r="H15" s="43" t="inlineStr">
        <is>
          <t>금액</t>
        </is>
      </c>
    </row>
    <row r="16" ht="20.25" customHeight="1">
      <c r="A16" s="15" t="inlineStr">
        <is>
          <t>Service fee</t>
        </is>
      </c>
      <c r="B16" s="15" t="n"/>
      <c r="C16" s="15" t="n"/>
      <c r="D16" s="15" t="n"/>
      <c r="E16" s="16" t="n"/>
      <c r="F16" s="17" t="n">
        <v>1</v>
      </c>
      <c r="G16" s="51" t="n">
        <v>200</v>
      </c>
      <c r="H16" s="52">
        <f>IF(F16="",ROUND(1*G16,2),ROUND(F16*G16,2))</f>
        <v/>
      </c>
    </row>
    <row r="17" ht="20.25" customHeight="1">
      <c r="A17" s="18" t="inlineStr">
        <is>
          <t>Labor: \/hr × 5 hours</t>
        </is>
      </c>
      <c r="B17" s="18" t="n"/>
      <c r="C17" s="18" t="n"/>
      <c r="D17" s="18" t="n"/>
      <c r="E17" s="19" t="n"/>
      <c r="F17" s="20" t="n">
        <v>5</v>
      </c>
      <c r="G17" s="53" t="n">
        <v>75</v>
      </c>
      <c r="H17" s="54">
        <f>IF(F17="",ROUND(1*G17,2),ROUND(F17*G17,2))</f>
        <v/>
      </c>
    </row>
    <row r="18" ht="20.25" customHeight="1">
      <c r="A18" s="18" t="inlineStr">
        <is>
          <t>New customer discount</t>
        </is>
      </c>
      <c r="B18" s="18" t="n"/>
      <c r="C18" s="18" t="n"/>
      <c r="D18" s="18" t="n"/>
      <c r="E18" s="19" t="n"/>
      <c r="F18" s="20" t="n"/>
      <c r="G18" s="53" t="n">
        <v>-50</v>
      </c>
      <c r="H18" s="54">
        <f>IF(F18="",ROUND(1*G18,2),ROUND(F18*G18,2))</f>
        <v/>
      </c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Thank you for your business!</t>
        </is>
      </c>
      <c r="F31" s="48" t="inlineStr">
        <is>
          <t>Subtotal</t>
        </is>
      </c>
      <c r="H31" s="57">
        <f>SUM(H16:H30)</f>
        <v/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세율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Tax</t>
        </is>
      </c>
      <c r="G33" s="48" t="n"/>
      <c r="H33" s="57">
        <f>H31*H32</f>
        <v/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합계</t>
        </is>
      </c>
      <c r="G34" s="30" t="n"/>
      <c r="H34" s="59">
        <f>H31+H33</f>
        <v/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If you have questions about this invoice, please contact</t>
        </is>
      </c>
    </row>
    <row r="38" ht="13.5" customHeight="1">
      <c r="A38" s="42" t="inlineStr">
        <is>
          <t>Jordan Lee, (425) 555-0199, billing@contoso.example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cols>
    <col width="101.44140625" customWidth="1" min="1" max="1"/>
  </cols>
  <sheetData>
    <row r="1" ht="290.25" customHeight="1">
      <c r="A1" s="40" t="inlineStr">
        <is>
          <t xml:space="preserve">Workbook sheet naming (design convention):
- Target: filled sample / expected look — design against this first
- Template: engine markers (double curly braces) — used by convert
- Description: notes (this sheet). Do NOT put live double-brace markers here or the engine will parse them.
Filename: lesson_m09_service_invoice.xlsx (= template_name)
Template features used:
1) Inline marker: e.g. A4 Phone: + marker ds.issuer_telephone
2) Formula templates: H16 / H31 / H33 / H34 use double-equals formulas; references adjust after expansion
3) Fill mode overwrite: A16 invoiceitem.description with FM=overwrite fills a fixed grid without inserting rows
4) DebugMode (defined name TemplateOptions.DebugMode): TRUE keeps template+result for compare; tutorial convert uses FALSE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2022-11-06T05:39:44Z</dcterms:created>
  <dcterms:modified xmlns:dcterms="http://purl.org/dc/terms/" xmlns:xsi="http://www.w3.org/2001/XMLSchema-instance" xsi:type="dcterms:W3CDTF">2026-08-10T07:17:00Z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  <property name="OfficeCLI.Version" fmtid="{D5CDD505-2E9C-101B-9397-08002B2CF9AE}" pid="3">
    <vt:lpwstr xmlns:vt="http://schemas.openxmlformats.org/officeDocument/2006/docPropsVTypes">1.0.143</vt:lpwstr>
  </property>
  <property name="OfficeCLI.LastModified" fmtid="{D5CDD505-2E9C-101B-9397-08002B2CF9AE}" pid="4">
    <vt:lpwstr xmlns:vt="http://schemas.openxmlformats.org/officeDocument/2006/docPropsVTypes">2026-08-09T10:24:49Z</vt:lpwstr>
  </property>
</Properties>
</file>