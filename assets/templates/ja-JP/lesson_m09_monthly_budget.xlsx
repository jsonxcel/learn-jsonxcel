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rget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.00_);[Red]\(&quot;¥&quot;#,##0.00\)"/>
    <numFmt numFmtId="165" formatCode="&quot;¥&quot;#,##0.00;&quot;¥&quot;\-#,##0.00"/>
  </numFmts>
  <fonts count="28">
    <font>
      <name val="Calibri"/>
      <family val="2"/>
      <color theme="1"/>
      <sz val="11"/>
      <scheme val="minor"/>
    </font>
    <font>
      <name val="Microsoft YaHei UI"/>
      <family val="2"/>
      <color theme="0"/>
      <sz val="11"/>
    </font>
    <font>
      <name val="Microsoft YaHei UI"/>
      <family val="2"/>
      <color theme="1"/>
      <sz val="11"/>
    </font>
    <font>
      <name val="Microsoft YaHei UI"/>
      <family val="2"/>
      <b val="1"/>
      <color theme="4"/>
      <sz val="40"/>
    </font>
    <font>
      <name val="Microsoft YaHei UI"/>
      <family val="2"/>
      <color theme="3" tint="0.249946592608417"/>
      <sz val="22"/>
    </font>
    <font>
      <name val="Microsoft YaHei UI"/>
      <family val="2"/>
      <color theme="0"/>
      <sz val="10"/>
    </font>
    <font>
      <name val="Microsoft YaHei UI"/>
      <family val="2"/>
      <b val="1"/>
      <color theme="4"/>
      <sz val="20"/>
    </font>
    <font>
      <name val="Microsoft YaHei UI"/>
      <family val="2"/>
      <color theme="1" tint="0.249946592608417"/>
      <sz val="10"/>
    </font>
    <font>
      <name val="Microsoft YaHei UI"/>
      <family val="2"/>
      <b val="1"/>
      <color theme="1"/>
      <sz val="14"/>
    </font>
    <font>
      <name val="Microsoft YaHei UI"/>
      <family val="2"/>
      <color theme="1"/>
      <sz val="14"/>
    </font>
    <font>
      <name val="Microsoft YaHei UI"/>
      <family val="2"/>
      <color theme="1" tint="0.3499862666707358"/>
      <sz val="12"/>
    </font>
    <font>
      <name val="Microsoft YaHei UI"/>
      <family val="2"/>
      <b val="1"/>
      <color theme="1" tint="0.249946592608417"/>
      <sz val="14"/>
    </font>
    <font>
      <name val="Microsoft YaHei UI"/>
      <family val="2"/>
      <color theme="1" tint="0.249946592608417"/>
      <sz val="14"/>
    </font>
    <font>
      <name val="Microsoft YaHei UI"/>
      <family val="2"/>
      <b val="1"/>
      <color theme="1" tint="0.3499862666707358"/>
      <sz val="14"/>
    </font>
    <font>
      <name val="Microsoft YaHei UI"/>
      <family val="2"/>
      <b val="1"/>
      <color theme="1" tint="0.3499862666707358"/>
      <sz val="12"/>
    </font>
    <font>
      <name val="Microsoft YaHei UI"/>
      <family val="2"/>
      <b val="1"/>
      <color theme="1" tint="0.249946592608417"/>
      <sz val="10"/>
    </font>
    <font>
      <name val="Microsoft YaHei UI"/>
      <family val="2"/>
      <sz val="12"/>
    </font>
    <font>
      <name val="Microsoft YaHei UI"/>
      <family val="2"/>
      <b val="1"/>
      <sz val="12"/>
    </font>
    <font>
      <name val="Microsoft YaHei UI"/>
      <family val="2"/>
      <b val="1"/>
      <color theme="1" tint="0.3499862666707358"/>
      <sz val="20"/>
    </font>
    <font>
      <name val="Microsoft YaHei UI"/>
      <family val="2"/>
      <b val="1"/>
      <color theme="8"/>
      <sz val="20"/>
    </font>
    <font>
      <name val="Microsoft YaHei UI"/>
      <family val="2"/>
      <color theme="8"/>
      <sz val="10"/>
    </font>
    <font>
      <name val="Microsoft YaHei UI"/>
      <family val="2"/>
      <color theme="0"/>
      <sz val="12"/>
    </font>
    <font>
      <name val="Microsoft YaHei UI"/>
      <family val="2"/>
      <color theme="1" tint="0.249946592608417"/>
      <sz val="12"/>
    </font>
    <font>
      <name val="Microsoft YaHei UI"/>
      <family val="2"/>
      <b val="1"/>
      <color theme="0"/>
      <sz val="14"/>
    </font>
    <font>
      <name val="Microsoft YaHei UI"/>
      <family val="2"/>
      <color theme="1"/>
      <sz val="12"/>
    </font>
    <font>
      <name val="Microsoft YaHei UI"/>
      <family val="2"/>
      <b val="1"/>
      <color theme="8"/>
      <sz val="14"/>
    </font>
    <font>
      <name val="Microsoft YaHei UI"/>
      <family val="2"/>
      <b val="1"/>
      <color theme="0"/>
      <sz val="20"/>
    </font>
    <font>
      <name val="Microsoft YaHei UI"/>
      <family val="2"/>
      <b val="1"/>
      <color theme="1" tint="0.249946592608417"/>
      <sz val="12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7999816888943144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/>
      <right style="thin">
        <color theme="0" tint="-0.1499679555650502"/>
      </right>
      <top/>
      <bottom style="thin">
        <color theme="0" tint="-0.1499374370555742"/>
      </bottom>
      <diagonal/>
    </border>
    <border>
      <left style="thin">
        <color theme="0" tint="-0.1499679555650502"/>
      </left>
      <right/>
      <top/>
      <bottom style="thin">
        <color theme="0" tint="-0.1499374370555742"/>
      </bottom>
      <diagonal/>
    </border>
    <border>
      <left/>
      <right style="thin">
        <color theme="0" tint="-0.1499679555650502"/>
      </right>
      <top/>
      <bottom style="thin">
        <color theme="0" tint="-0.1499679555650502"/>
      </bottom>
      <diagonal/>
    </border>
    <border>
      <left style="thin">
        <color theme="0" tint="-0.1499679555650502"/>
      </left>
      <right/>
      <top/>
      <bottom style="thin">
        <color theme="0" tint="-0.1499679555650502"/>
      </bottom>
      <diagonal/>
    </border>
    <border>
      <left/>
      <right style="thin">
        <color theme="0" tint="-0.1499069185460982"/>
      </right>
      <top style="thin">
        <color theme="0" tint="-0.1499679555650502"/>
      </top>
      <bottom style="thin">
        <color theme="0" tint="-0.1499374370555742"/>
      </bottom>
      <diagonal/>
    </border>
    <border>
      <left style="thin">
        <color theme="0" tint="-0.1499069185460982"/>
      </left>
      <right/>
      <top style="thin">
        <color theme="0" tint="-0.1499679555650502"/>
      </top>
      <bottom style="thin">
        <color theme="0" tint="-0.149937437055574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indent="7"/>
    </xf>
    <xf numFmtId="0" fontId="4" fillId="2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7" fillId="0" borderId="1" pivotButton="0" quotePrefix="0" xfId="0"/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left" vertical="center" wrapText="1" indent="1"/>
    </xf>
    <xf numFmtId="164" fontId="9" fillId="3" borderId="0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164" fontId="10" fillId="2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2" borderId="4" applyAlignment="1" pivotButton="0" quotePrefix="0" xfId="0">
      <alignment horizontal="left" vertical="center" indent="1"/>
    </xf>
    <xf numFmtId="164" fontId="10" fillId="2" borderId="5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wrapText="1" indent="1"/>
    </xf>
    <xf numFmtId="164" fontId="12" fillId="4" borderId="0" applyAlignment="1" pivotButton="0" quotePrefix="0" xfId="0">
      <alignment horizontal="center" vertical="center"/>
    </xf>
    <xf numFmtId="0" fontId="13" fillId="5" borderId="6" applyAlignment="1" pivotButton="0" quotePrefix="0" xfId="0">
      <alignment horizontal="left" vertical="center" indent="1"/>
    </xf>
    <xf numFmtId="164" fontId="14" fillId="5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 wrapText="1" indent="1"/>
    </xf>
    <xf numFmtId="164" fontId="13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2" borderId="8" applyAlignment="1" pivotButton="0" quotePrefix="0" xfId="0">
      <alignment horizontal="left" vertical="center" indent="1"/>
    </xf>
    <xf numFmtId="164" fontId="10" fillId="2" borderId="9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vertical="center"/>
    </xf>
    <xf numFmtId="0" fontId="18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3" fillId="2" borderId="0" applyAlignment="1" pivotButton="0" quotePrefix="0" xfId="0">
      <alignment horizontal="left" vertical="center" indent="1"/>
    </xf>
    <xf numFmtId="0" fontId="13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5" fontId="10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165" fontId="24" fillId="5" borderId="0" applyAlignment="1" pivotButton="0" quotePrefix="0" xfId="0">
      <alignment horizontal="center" vertical="center"/>
    </xf>
    <xf numFmtId="165" fontId="1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165" fontId="16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2" borderId="0" applyAlignment="1" pivotButton="0" quotePrefix="0" xfId="0">
      <alignment horizontal="left" vertical="center" indent="1"/>
    </xf>
    <xf numFmtId="165" fontId="22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 indent="1"/>
    </xf>
    <xf numFmtId="165" fontId="22" fillId="5" borderId="0" applyAlignment="1" pivotButton="0" quotePrefix="0" xfId="0">
      <alignment horizontal="center" vertical="center"/>
    </xf>
    <xf numFmtId="165" fontId="22" fillId="2" borderId="0" applyAlignment="1" pivotButton="0" quotePrefix="0" xfId="0">
      <alignment horizontal="left" vertical="center" indent="1"/>
    </xf>
    <xf numFmtId="0" fontId="25" fillId="2" borderId="0" applyAlignment="1" pivotButton="0" quotePrefix="0" xfId="0">
      <alignment vertical="center"/>
    </xf>
    <xf numFmtId="165" fontId="22" fillId="2" borderId="0" applyAlignment="1" pivotButton="0" quotePrefix="0" xfId="0">
      <alignment vertical="center"/>
    </xf>
    <xf numFmtId="165" fontId="10" fillId="5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 indent="1"/>
    </xf>
    <xf numFmtId="165" fontId="10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  <xf numFmtId="0" fontId="23" fillId="2" borderId="0" applyAlignment="1" pivotButton="0" quotePrefix="0" xfId="0">
      <alignment vertical="center"/>
    </xf>
    <xf numFmtId="165" fontId="13" fillId="5" borderId="0" applyAlignment="1" pivotButton="0" quotePrefix="0" xfId="0">
      <alignment horizontal="center" vertical="center"/>
    </xf>
    <xf numFmtId="165" fontId="25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wrapText="1" indent="1"/>
    </xf>
    <xf numFmtId="164" fontId="12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 indent="1"/>
    </xf>
    <xf numFmtId="164" fontId="12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wrapText="1" indent="1"/>
    </xf>
    <xf numFmtId="164" fontId="13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住房" displayName="住房" ref="B15:E17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娱乐" displayName="娱乐" ref="G15:J17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贷款" displayName="贷款" ref="G29:J31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交通" displayName="交通" ref="B29:E31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保险" displayName="保险" ref="B40:E42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税款" displayName="税款" ref="G40:J42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存款" displayName="存款" ref="G48:J50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食品" displayName="食品" ref="B48:E50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礼品" displayName="礼品" ref="G55:J57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宠物" displayName="宠物" ref="B55:E57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法务" displayName="法务" ref="G64:J66" headerRowCount="1" totalsRowCount="1">
  <tableColumns count="4">
    <tableColumn id="1" name="法務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个人护理" displayName="个人护理" ref="B64:E66" headerRowCount="1" totalsRowCount="1">
  <tableColumns count="4">
    <tableColumn id="1" name="項目" totalsRowLabel="小計"/>
    <tableColumn id="2" name="予算"/>
    <tableColumn id="3" name="実績"/>
    <tableColumn id="4" name="差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{{ds.title}}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予算収入</t>
        </is>
      </c>
      <c r="C4" s="79" t="n"/>
      <c r="D4" s="9" t="n"/>
      <c r="E4" s="10" t="inlineStr">
        <is>
          <t>予算残高
（収入−支出）</t>
        </is>
      </c>
      <c r="H4" s="11" t="inlineStr">
        <is>
          <t>{{==C7-J73}}</t>
        </is>
      </c>
    </row>
    <row r="5" ht="30" customHeight="1">
      <c r="A5" s="6" t="n"/>
      <c r="B5" s="12" t="inlineStr">
        <is>
          <t>{{ds.budget_income.name(FM=overwrite)}}</t>
        </is>
      </c>
      <c r="C5" s="13" t="inlineStr">
        <is>
          <t>{{ds.budget_income.amount}}</t>
        </is>
      </c>
      <c r="I5" s="14" t="n"/>
    </row>
    <row r="6" ht="30" customHeight="1">
      <c r="A6" s="6" t="n"/>
      <c r="B6" s="15" t="n"/>
      <c r="C6" s="16" t="n"/>
      <c r="E6" s="17" t="inlineStr">
        <is>
          <t>実績残高
（収入−支出）</t>
        </is>
      </c>
      <c r="H6" s="18" t="inlineStr">
        <is>
          <t>{{==C12-J75}}</t>
        </is>
      </c>
      <c r="I6" s="14" t="n"/>
    </row>
    <row r="7" ht="30" customHeight="1">
      <c r="A7" s="6" t="n"/>
      <c r="B7" s="19" t="inlineStr">
        <is>
          <t>月間収入合計</t>
        </is>
      </c>
      <c r="C7" s="20" t="inlineStr">
        <is>
          <t>{{==SUM(C5:C6)}}</t>
        </is>
      </c>
      <c r="I7" s="14" t="n"/>
    </row>
    <row r="8" ht="30" customHeight="1">
      <c r="A8" s="6" t="n"/>
      <c r="E8" s="21" t="inlineStr">
        <is>
          <t>差額
（実績−予算）</t>
        </is>
      </c>
      <c r="H8" s="22" t="inlineStr">
        <is>
          <t>{{==H6-H4}}</t>
        </is>
      </c>
      <c r="I8" s="14" t="n"/>
    </row>
    <row r="9" ht="30" customHeight="1">
      <c r="A9" s="6" t="n"/>
      <c r="B9" s="7" t="inlineStr">
        <is>
          <t>実績収入</t>
        </is>
      </c>
      <c r="C9" s="79" t="n"/>
      <c r="D9" s="9" t="n"/>
      <c r="I9" s="23" t="n"/>
    </row>
    <row r="10" ht="30" customHeight="1">
      <c r="A10" s="6" t="n"/>
      <c r="B10" s="15" t="inlineStr">
        <is>
          <t>{{ds.actual_income.name(FM=overwrite)}}</t>
        </is>
      </c>
      <c r="C10" s="16" t="inlineStr">
        <is>
          <t>{{ds.actual_income.amount}}</t>
        </is>
      </c>
      <c r="I10" s="14" t="n"/>
    </row>
    <row r="11" ht="30" customHeight="1">
      <c r="A11" s="6" t="n"/>
      <c r="B11" s="24" t="n"/>
      <c r="C11" s="25" t="n"/>
      <c r="E11" s="14" t="n"/>
      <c r="H11" s="26" t="n"/>
      <c r="I11" s="14" t="n"/>
    </row>
    <row r="12" ht="30" customHeight="1">
      <c r="A12" s="6" t="n"/>
      <c r="B12" s="19" t="inlineStr">
        <is>
          <t>月間収入合計</t>
        </is>
      </c>
      <c r="C12" s="20" t="inlineStr">
        <is>
          <t>{{==SUM(C10:C11)}}</t>
        </is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住居</t>
        </is>
      </c>
      <c r="C14" s="31" t="n"/>
      <c r="D14" s="32" t="n"/>
      <c r="E14" s="32" t="n"/>
      <c r="G14" s="33" t="inlineStr">
        <is>
          <t>娯楽</t>
        </is>
      </c>
      <c r="H14" s="31" t="n"/>
      <c r="I14" s="31" t="n"/>
      <c r="J14" s="31" t="n"/>
    </row>
    <row r="15" ht="48" customHeight="1">
      <c r="A15" s="6" t="n"/>
      <c r="B15" s="34" t="inlineStr">
        <is>
          <t>項目</t>
        </is>
      </c>
      <c r="C15" s="35" t="inlineStr">
        <is>
          <t>予算</t>
        </is>
      </c>
      <c r="D15" s="35" t="inlineStr">
        <is>
          <t>実績</t>
        </is>
      </c>
      <c r="E15" s="36" t="inlineStr">
        <is>
          <t>差額</t>
        </is>
      </c>
      <c r="F15" s="37" t="n"/>
      <c r="G15" s="38" t="inlineStr">
        <is>
          <t>項目</t>
        </is>
      </c>
      <c r="H15" s="39" t="inlineStr">
        <is>
          <t>予算</t>
        </is>
      </c>
      <c r="I15" s="39" t="inlineStr">
        <is>
          <t>実績</t>
        </is>
      </c>
      <c r="J15" s="40" t="inlineStr">
        <is>
          <t>差額</t>
        </is>
      </c>
    </row>
    <row r="16" ht="30" customHeight="1">
      <c r="A16" s="6" t="n"/>
      <c r="B16" s="41" t="inlineStr">
        <is>
          <t>{{ds.housing.item(G=normal)}}</t>
        </is>
      </c>
      <c r="C16" s="42" t="inlineStr">
        <is>
          <t>{{ds.housing.budget}}</t>
        </is>
      </c>
      <c r="D16" s="42" t="inlineStr">
        <is>
          <t>{{ds.housing.actual}}</t>
        </is>
      </c>
      <c r="E16" s="42" t="inlineStr">
        <is>
          <t>{{==C16-D16}}</t>
        </is>
      </c>
      <c r="F16" s="37" t="n"/>
      <c r="G16" s="43" t="inlineStr">
        <is>
          <t>{{ds.entertainment.item(G=normal)}}</t>
        </is>
      </c>
      <c r="H16" s="44" t="inlineStr">
        <is>
          <t>{{ds.entertainment.budget}}</t>
        </is>
      </c>
      <c r="I16" s="44" t="inlineStr">
        <is>
          <t>{{ds.entertainment.actual}}</t>
        </is>
      </c>
      <c r="J16" s="44" t="inlineStr">
        <is>
          <t>{{==H16-I16}}</t>
        </is>
      </c>
    </row>
    <row r="17" ht="30" customHeight="1">
      <c r="A17" s="6" t="n"/>
      <c r="B17" s="41" t="inlineStr">
        <is>
          <t>小計</t>
        </is>
      </c>
      <c r="C17" s="42" t="n"/>
      <c r="D17" s="42" t="n"/>
      <c r="E17" s="42" t="inlineStr">
        <is>
          <t>{{==SUBTOTAL(109,住房[差額])}}</t>
        </is>
      </c>
      <c r="F17" s="37" t="n"/>
      <c r="G17" s="43" t="inlineStr">
        <is>
          <t>小計</t>
        </is>
      </c>
      <c r="H17" s="44" t="n"/>
      <c r="I17" s="44" t="n"/>
      <c r="J17" s="44" t="inlineStr">
        <is>
          <t>{{==SUBTOTAL(109,娱乐[差額])}}</t>
        </is>
      </c>
    </row>
    <row r="18" ht="30" customHeight="1">
      <c r="A18" s="6" t="n"/>
      <c r="B18" s="41" t="n"/>
      <c r="C18" s="42" t="n"/>
      <c r="D18" s="42" t="n"/>
      <c r="E18" s="42" t="n"/>
      <c r="F18" s="37" t="n"/>
      <c r="G18" s="43" t="n"/>
      <c r="H18" s="44" t="n"/>
      <c r="I18" s="44" t="n"/>
      <c r="J18" s="44" t="n"/>
    </row>
    <row r="19" ht="30" customHeight="1">
      <c r="A19" s="6" t="n"/>
      <c r="B19" s="41" t="n"/>
      <c r="C19" s="42" t="n"/>
      <c r="D19" s="42" t="n"/>
      <c r="E19" s="42" t="n"/>
      <c r="F19" s="37" t="n"/>
      <c r="G19" s="43" t="n"/>
      <c r="H19" s="44" t="n"/>
      <c r="I19" s="44" t="n"/>
      <c r="J19" s="44" t="n"/>
    </row>
    <row r="20" ht="30" customHeight="1">
      <c r="A20" s="6" t="n"/>
      <c r="B20" s="41" t="n"/>
      <c r="C20" s="42" t="n"/>
      <c r="D20" s="42" t="n"/>
      <c r="E20" s="42" t="n"/>
      <c r="F20" s="37" t="n"/>
      <c r="G20" s="43" t="n"/>
      <c r="H20" s="44" t="n"/>
      <c r="I20" s="44" t="n"/>
      <c r="J20" s="44" t="n"/>
    </row>
    <row r="21" ht="30" customHeight="1">
      <c r="A21" s="6" t="n"/>
      <c r="B21" s="41" t="n"/>
      <c r="C21" s="42" t="n"/>
      <c r="D21" s="42" t="n"/>
      <c r="E21" s="42" t="n"/>
      <c r="F21" s="37" t="n"/>
      <c r="G21" s="43" t="n"/>
      <c r="H21" s="44" t="n"/>
      <c r="I21" s="44" t="n"/>
      <c r="J21" s="44" t="n"/>
    </row>
    <row r="22" ht="30" customHeight="1">
      <c r="A22" s="6" t="n"/>
      <c r="B22" s="41" t="n"/>
      <c r="C22" s="42" t="n"/>
      <c r="D22" s="42" t="n"/>
      <c r="E22" s="42" t="n"/>
      <c r="F22" s="37" t="n"/>
      <c r="G22" s="43" t="n"/>
      <c r="H22" s="44" t="n"/>
      <c r="I22" s="44" t="n"/>
      <c r="J22" s="44" t="n"/>
    </row>
    <row r="23" ht="30" customHeight="1">
      <c r="A23" s="6" t="n"/>
      <c r="B23" s="41" t="n"/>
      <c r="C23" s="42" t="n"/>
      <c r="D23" s="42" t="n"/>
      <c r="E23" s="42" t="n"/>
      <c r="F23" s="37" t="n"/>
      <c r="G23" s="43" t="n"/>
      <c r="H23" s="44" t="n"/>
      <c r="I23" s="44" t="n"/>
      <c r="J23" s="44" t="n"/>
    </row>
    <row r="24" ht="30" customHeight="1">
      <c r="A24" s="6" t="n"/>
      <c r="B24" s="41" t="n"/>
      <c r="C24" s="42" t="n"/>
      <c r="D24" s="42" t="n"/>
      <c r="E24" s="42" t="n"/>
      <c r="F24" s="37" t="n"/>
      <c r="G24" s="43" t="n"/>
      <c r="H24" s="44" t="n"/>
      <c r="I24" s="44" t="n"/>
      <c r="J24" s="44" t="n"/>
    </row>
    <row r="25" ht="30" customHeight="1">
      <c r="A25" s="6" t="n"/>
      <c r="B25" s="41" t="n"/>
      <c r="C25" s="42" t="n"/>
      <c r="D25" s="42" t="n"/>
      <c r="E25" s="42" t="n"/>
      <c r="F25" s="37" t="n"/>
      <c r="G25" s="45" t="n"/>
      <c r="H25" s="46" t="n"/>
      <c r="I25" s="46" t="n"/>
      <c r="J25" s="47" t="n"/>
    </row>
    <row r="26" ht="30" customHeight="1">
      <c r="A26" s="6" t="n"/>
      <c r="B26" s="48" t="n"/>
      <c r="C26" s="49" t="n"/>
      <c r="D26" s="49" t="n"/>
      <c r="E26" s="42" t="n"/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ローン</t>
        </is>
      </c>
    </row>
    <row r="29" ht="48" customHeight="1">
      <c r="A29" s="6" t="n"/>
      <c r="B29" s="53" t="inlineStr">
        <is>
          <t>項目</t>
        </is>
      </c>
      <c r="C29" s="39" t="inlineStr">
        <is>
          <t>予算</t>
        </is>
      </c>
      <c r="D29" s="39" t="inlineStr">
        <is>
          <t>実績</t>
        </is>
      </c>
      <c r="E29" s="40" t="inlineStr">
        <is>
          <t>差額</t>
        </is>
      </c>
      <c r="F29" s="37" t="n"/>
      <c r="G29" s="54" t="inlineStr">
        <is>
          <t>項目</t>
        </is>
      </c>
      <c r="H29" s="39" t="inlineStr">
        <is>
          <t>予算</t>
        </is>
      </c>
      <c r="I29" s="39" t="inlineStr">
        <is>
          <t>実績</t>
        </is>
      </c>
      <c r="J29" s="40" t="inlineStr">
        <is>
          <t>差額</t>
        </is>
      </c>
    </row>
    <row r="30" ht="30" customHeight="1">
      <c r="A30" s="6" t="n"/>
      <c r="B30" s="43" t="inlineStr">
        <is>
          <t>{{ds.transportation.item(G=normal)}}</t>
        </is>
      </c>
      <c r="C30" s="44" t="inlineStr">
        <is>
          <t>{{ds.transportation.budget}}</t>
        </is>
      </c>
      <c r="D30" s="44" t="inlineStr">
        <is>
          <t>{{ds.transportation.actual}}</t>
        </is>
      </c>
      <c r="E30" s="44" t="inlineStr">
        <is>
          <t>{{==C30-D30}}</t>
        </is>
      </c>
      <c r="F30" s="37" t="n"/>
      <c r="G30" s="43" t="inlineStr">
        <is>
          <t>{{ds.loans.item(G=normal)}}</t>
        </is>
      </c>
      <c r="H30" s="44" t="inlineStr">
        <is>
          <t>{{ds.loans.budget}}</t>
        </is>
      </c>
      <c r="I30" s="44" t="inlineStr">
        <is>
          <t>{{ds.loans.actual}}</t>
        </is>
      </c>
      <c r="J30" s="44" t="inlineStr">
        <is>
          <t>{{==H30-I30}}</t>
        </is>
      </c>
    </row>
    <row r="31" ht="30" customHeight="1">
      <c r="A31" s="6" t="n"/>
      <c r="B31" s="43" t="inlineStr">
        <is>
          <t>小計</t>
        </is>
      </c>
      <c r="C31" s="44" t="n"/>
      <c r="D31" s="44" t="n"/>
      <c r="E31" s="44" t="inlineStr">
        <is>
          <t>{{==SUBTOTAL(109,交通[差額])}}</t>
        </is>
      </c>
      <c r="F31" s="37" t="n"/>
      <c r="G31" s="43" t="inlineStr">
        <is>
          <t>小計</t>
        </is>
      </c>
      <c r="H31" s="44" t="n"/>
      <c r="I31" s="44" t="n"/>
      <c r="J31" s="44" t="inlineStr">
        <is>
          <t>{{==SUBTOTAL(109,贷款[差額])}}</t>
        </is>
      </c>
    </row>
    <row r="32" ht="30" customHeight="1">
      <c r="A32" s="6" t="n"/>
      <c r="B32" s="43" t="n"/>
      <c r="C32" s="44" t="n"/>
      <c r="D32" s="44" t="n"/>
      <c r="E32" s="44" t="n"/>
      <c r="F32" s="37" t="n"/>
      <c r="G32" s="43" t="n"/>
      <c r="H32" s="44" t="n"/>
      <c r="I32" s="44" t="n"/>
      <c r="J32" s="44" t="n"/>
    </row>
    <row r="33" ht="30" customHeight="1">
      <c r="A33" s="6" t="n"/>
      <c r="B33" s="43" t="n"/>
      <c r="C33" s="44" t="n"/>
      <c r="D33" s="44" t="n"/>
      <c r="E33" s="44" t="n"/>
      <c r="F33" s="37" t="n"/>
      <c r="G33" s="43" t="n"/>
      <c r="H33" s="44" t="n"/>
      <c r="I33" s="44" t="n"/>
      <c r="J33" s="44" t="n"/>
    </row>
    <row r="34" ht="30" customHeight="1">
      <c r="A34" s="6" t="n"/>
      <c r="B34" s="43" t="n"/>
      <c r="C34" s="44" t="n"/>
      <c r="D34" s="44" t="n"/>
      <c r="E34" s="44" t="n"/>
      <c r="F34" s="37" t="n"/>
      <c r="G34" s="43" t="n"/>
      <c r="H34" s="44" t="n"/>
      <c r="I34" s="44" t="n"/>
      <c r="J34" s="44" t="n"/>
    </row>
    <row r="35" ht="30" customHeight="1">
      <c r="A35" s="6" t="n"/>
      <c r="B35" s="43" t="n"/>
      <c r="C35" s="44" t="n"/>
      <c r="D35" s="44" t="n"/>
      <c r="E35" s="44" t="n"/>
      <c r="F35" s="37" t="n"/>
      <c r="G35" s="43" t="n"/>
      <c r="H35" s="44" t="n"/>
      <c r="I35" s="44" t="n"/>
      <c r="J35" s="44" t="n"/>
    </row>
    <row r="36" ht="30" customHeight="1">
      <c r="A36" s="6" t="n"/>
      <c r="B36" s="43" t="n"/>
      <c r="C36" s="44" t="n"/>
      <c r="D36" s="44" t="n"/>
      <c r="E36" s="44" t="n"/>
      <c r="F36" s="37" t="n"/>
      <c r="G36" s="45" t="n"/>
      <c r="H36" s="55" t="n"/>
      <c r="I36" s="55" t="n"/>
      <c r="J36" s="47" t="n"/>
    </row>
    <row r="37" ht="30" customHeight="1">
      <c r="A37" s="6" t="n"/>
      <c r="B37" s="45" t="n"/>
      <c r="C37" s="55" t="n"/>
      <c r="D37" s="55" t="n"/>
      <c r="E37" s="47" t="n"/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保険</t>
        </is>
      </c>
      <c r="F39" s="37" t="n"/>
      <c r="G39" s="33" t="inlineStr">
        <is>
          <t>税金</t>
        </is>
      </c>
    </row>
    <row r="40" ht="48" customHeight="1">
      <c r="A40" s="6" t="n"/>
      <c r="B40" s="54" t="inlineStr">
        <is>
          <t>項目</t>
        </is>
      </c>
      <c r="C40" s="39" t="inlineStr">
        <is>
          <t>予算</t>
        </is>
      </c>
      <c r="D40" s="39" t="inlineStr">
        <is>
          <t>実績</t>
        </is>
      </c>
      <c r="E40" s="40" t="inlineStr">
        <is>
          <t>差額</t>
        </is>
      </c>
      <c r="F40" s="37" t="n"/>
      <c r="G40" s="38" t="inlineStr">
        <is>
          <t>項目</t>
        </is>
      </c>
      <c r="H40" s="39" t="inlineStr">
        <is>
          <t>予算</t>
        </is>
      </c>
      <c r="I40" s="39" t="inlineStr">
        <is>
          <t>実績</t>
        </is>
      </c>
      <c r="J40" s="40" t="inlineStr">
        <is>
          <t>差額</t>
        </is>
      </c>
    </row>
    <row r="41" ht="30" customHeight="1">
      <c r="A41" s="6" t="n"/>
      <c r="B41" s="43" t="inlineStr">
        <is>
          <t>{{ds.insurance.item(G=normal)}}</t>
        </is>
      </c>
      <c r="C41" s="44" t="inlineStr">
        <is>
          <t>{{ds.insurance.budget}}</t>
        </is>
      </c>
      <c r="D41" s="44" t="inlineStr">
        <is>
          <t>{{ds.insurance.actual}}</t>
        </is>
      </c>
      <c r="E41" s="44" t="inlineStr">
        <is>
          <t>{{==C41-D41}}</t>
        </is>
      </c>
      <c r="F41" s="37" t="n"/>
      <c r="G41" s="43" t="inlineStr">
        <is>
          <t>{{ds.taxes.item(G=normal)}}</t>
        </is>
      </c>
      <c r="H41" s="44" t="inlineStr">
        <is>
          <t>{{ds.taxes.budget}}</t>
        </is>
      </c>
      <c r="I41" s="44" t="inlineStr">
        <is>
          <t>{{ds.taxes.actual}}</t>
        </is>
      </c>
      <c r="J41" s="44" t="inlineStr">
        <is>
          <t>{{==H41-I41}}</t>
        </is>
      </c>
    </row>
    <row r="42" ht="30" customHeight="1">
      <c r="A42" s="6" t="n"/>
      <c r="B42" s="43" t="inlineStr">
        <is>
          <t>小計</t>
        </is>
      </c>
      <c r="C42" s="44" t="n"/>
      <c r="D42" s="44" t="n"/>
      <c r="E42" s="44" t="inlineStr">
        <is>
          <t>{{==SUBTOTAL(109,保险[差額])}}</t>
        </is>
      </c>
      <c r="F42" s="37" t="n"/>
      <c r="G42" s="43" t="inlineStr">
        <is>
          <t>小計</t>
        </is>
      </c>
      <c r="H42" s="44" t="n"/>
      <c r="I42" s="44" t="n"/>
      <c r="J42" s="44" t="inlineStr">
        <is>
          <t>{{==SUBTOTAL(109,税款[差額])}}</t>
        </is>
      </c>
    </row>
    <row r="43" ht="30" customHeight="1">
      <c r="A43" s="6" t="n"/>
      <c r="B43" s="43" t="n"/>
      <c r="C43" s="44" t="n"/>
      <c r="D43" s="44" t="n"/>
      <c r="E43" s="44" t="n"/>
      <c r="F43" s="37" t="n"/>
      <c r="G43" s="43" t="n"/>
      <c r="H43" s="44" t="n"/>
      <c r="I43" s="44" t="n"/>
      <c r="J43" s="44" t="n"/>
    </row>
    <row r="44" ht="30" customHeight="1">
      <c r="A44" s="6" t="n"/>
      <c r="B44" s="43" t="n"/>
      <c r="C44" s="44" t="n"/>
      <c r="D44" s="44" t="n"/>
      <c r="E44" s="44" t="n"/>
      <c r="F44" s="37" t="n"/>
      <c r="G44" s="43" t="n"/>
      <c r="H44" s="44" t="n"/>
      <c r="I44" s="44" t="n"/>
      <c r="J44" s="44" t="n"/>
    </row>
    <row r="45" ht="30" customHeight="1">
      <c r="A45" s="6" t="n"/>
      <c r="B45" s="45" t="n"/>
      <c r="C45" s="59" t="n"/>
      <c r="D45" s="59" t="n"/>
      <c r="E45" s="47" t="n"/>
      <c r="F45" s="37" t="n"/>
      <c r="G45" s="45" t="n"/>
      <c r="H45" s="55" t="n"/>
      <c r="I45" s="55" t="n"/>
      <c r="J45" s="47" t="n"/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食費</t>
        </is>
      </c>
      <c r="F47" s="37" t="n"/>
      <c r="G47" s="33" t="inlineStr">
        <is>
          <t>貯蓄・投資</t>
        </is>
      </c>
    </row>
    <row r="48" ht="49.9" customHeight="1">
      <c r="A48" s="6" t="n"/>
      <c r="B48" s="62" t="inlineStr">
        <is>
          <t>項目</t>
        </is>
      </c>
      <c r="C48" s="39" t="inlineStr">
        <is>
          <t>予算</t>
        </is>
      </c>
      <c r="D48" s="39" t="inlineStr">
        <is>
          <t>実績</t>
        </is>
      </c>
      <c r="E48" s="40" t="inlineStr">
        <is>
          <t>差額</t>
        </is>
      </c>
      <c r="F48" s="37" t="n"/>
      <c r="G48" s="38" t="inlineStr">
        <is>
          <t>項目</t>
        </is>
      </c>
      <c r="H48" s="39" t="inlineStr">
        <is>
          <t>予算</t>
        </is>
      </c>
      <c r="I48" s="39" t="inlineStr">
        <is>
          <t>実績</t>
        </is>
      </c>
      <c r="J48" s="40" t="inlineStr">
        <is>
          <t>差額</t>
        </is>
      </c>
    </row>
    <row r="49" ht="30" customHeight="1">
      <c r="A49" s="6" t="n"/>
      <c r="B49" s="43" t="inlineStr">
        <is>
          <t>{{ds.food.item(G=normal)}}</t>
        </is>
      </c>
      <c r="C49" s="44" t="inlineStr">
        <is>
          <t>{{ds.food.budget}}</t>
        </is>
      </c>
      <c r="D49" s="44" t="inlineStr">
        <is>
          <t>{{ds.food.actual}}</t>
        </is>
      </c>
      <c r="E49" s="44" t="inlineStr">
        <is>
          <t>{{==C49-D49}}</t>
        </is>
      </c>
      <c r="F49" s="37" t="n"/>
      <c r="G49" s="43" t="inlineStr">
        <is>
          <t>{{ds.savings.item(G=normal)}}</t>
        </is>
      </c>
      <c r="H49" s="44" t="inlineStr">
        <is>
          <t>{{ds.savings.budget}}</t>
        </is>
      </c>
      <c r="I49" s="44" t="inlineStr">
        <is>
          <t>{{ds.savings.actual}}</t>
        </is>
      </c>
      <c r="J49" s="44" t="inlineStr">
        <is>
          <t>{{==H49-I49}}</t>
        </is>
      </c>
    </row>
    <row r="50" ht="30" customHeight="1">
      <c r="A50" s="6" t="n"/>
      <c r="B50" s="43" t="inlineStr">
        <is>
          <t>小計</t>
        </is>
      </c>
      <c r="C50" s="44" t="n"/>
      <c r="D50" s="44" t="n"/>
      <c r="E50" s="44" t="inlineStr">
        <is>
          <t>{{==SUBTOTAL(109,食品[差額])}}</t>
        </is>
      </c>
      <c r="F50" s="37" t="n"/>
      <c r="G50" s="43" t="inlineStr">
        <is>
          <t>小計</t>
        </is>
      </c>
      <c r="H50" s="44" t="n"/>
      <c r="I50" s="44" t="n"/>
      <c r="J50" s="44" t="inlineStr">
        <is>
          <t>{{==SUBTOTAL(109,存款[差額])}}</t>
        </is>
      </c>
    </row>
    <row r="51" ht="30" customHeight="1">
      <c r="A51" s="6" t="n"/>
      <c r="B51" s="43" t="n"/>
      <c r="C51" s="44" t="n"/>
      <c r="D51" s="44" t="n"/>
      <c r="E51" s="44" t="n"/>
      <c r="F51" s="37" t="n"/>
      <c r="G51" s="43" t="n"/>
      <c r="H51" s="44" t="n"/>
      <c r="I51" s="44" t="n"/>
      <c r="J51" s="44" t="n"/>
    </row>
    <row r="52" ht="30" customHeight="1">
      <c r="A52" s="6" t="n"/>
      <c r="B52" s="45" t="n"/>
      <c r="C52" s="59" t="n"/>
      <c r="D52" s="59" t="n"/>
      <c r="E52" s="47" t="n"/>
      <c r="F52" s="37" t="n"/>
      <c r="G52" s="45" t="n"/>
      <c r="H52" s="55" t="n"/>
      <c r="I52" s="55" t="n"/>
      <c r="J52" s="47" t="n"/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ペット</t>
        </is>
      </c>
      <c r="F54" s="37" t="n"/>
      <c r="G54" s="33" t="inlineStr">
        <is>
          <t>贈答・寄付</t>
        </is>
      </c>
    </row>
    <row r="55" ht="48" customHeight="1">
      <c r="A55" s="6" t="n"/>
      <c r="B55" s="66" t="inlineStr">
        <is>
          <t>項目</t>
        </is>
      </c>
      <c r="C55" s="39" t="inlineStr">
        <is>
          <t>予算</t>
        </is>
      </c>
      <c r="D55" s="39" t="inlineStr">
        <is>
          <t>実績</t>
        </is>
      </c>
      <c r="E55" s="40" t="inlineStr">
        <is>
          <t>差額</t>
        </is>
      </c>
      <c r="F55" s="37" t="n"/>
      <c r="G55" s="54" t="inlineStr">
        <is>
          <t>項目</t>
        </is>
      </c>
      <c r="H55" s="39" t="inlineStr">
        <is>
          <t>予算</t>
        </is>
      </c>
      <c r="I55" s="39" t="inlineStr">
        <is>
          <t>実績</t>
        </is>
      </c>
      <c r="J55" s="40" t="inlineStr">
        <is>
          <t>差額</t>
        </is>
      </c>
    </row>
    <row r="56" ht="30" customHeight="1">
      <c r="A56" s="6" t="n"/>
      <c r="B56" s="43" t="inlineStr">
        <is>
          <t>{{ds.pets.item(G=normal)}}</t>
        </is>
      </c>
      <c r="C56" s="44" t="inlineStr">
        <is>
          <t>{{ds.pets.budget}}</t>
        </is>
      </c>
      <c r="D56" s="44" t="inlineStr">
        <is>
          <t>{{ds.pets.actual}}</t>
        </is>
      </c>
      <c r="E56" s="44" t="inlineStr">
        <is>
          <t>{{==C56-D56}}</t>
        </is>
      </c>
      <c r="F56" s="37" t="n"/>
      <c r="G56" s="43" t="inlineStr">
        <is>
          <t>{{ds.gifts.item(G=normal)}}</t>
        </is>
      </c>
      <c r="H56" s="44" t="inlineStr">
        <is>
          <t>{{ds.gifts.budget}}</t>
        </is>
      </c>
      <c r="I56" s="44" t="inlineStr">
        <is>
          <t>{{ds.gifts.actual}}</t>
        </is>
      </c>
      <c r="J56" s="44" t="inlineStr">
        <is>
          <t>{{==H56-I56}}</t>
        </is>
      </c>
    </row>
    <row r="57" ht="30" customHeight="1">
      <c r="A57" s="6" t="n"/>
      <c r="B57" s="43" t="inlineStr">
        <is>
          <t>小計</t>
        </is>
      </c>
      <c r="C57" s="44" t="n"/>
      <c r="D57" s="44" t="n"/>
      <c r="E57" s="44" t="inlineStr">
        <is>
          <t>{{==SUBTOTAL(109,宠物[差額])}}</t>
        </is>
      </c>
      <c r="F57" s="37" t="n"/>
      <c r="G57" s="43" t="inlineStr">
        <is>
          <t>小計</t>
        </is>
      </c>
      <c r="H57" s="44" t="n"/>
      <c r="I57" s="44" t="n"/>
      <c r="J57" s="44" t="inlineStr">
        <is>
          <t>{{==SUBTOTAL(109,礼品[差額])}}</t>
        </is>
      </c>
    </row>
    <row r="58" ht="30" customHeight="1">
      <c r="A58" s="6" t="n"/>
      <c r="B58" s="43" t="n"/>
      <c r="C58" s="44" t="n"/>
      <c r="D58" s="44" t="n"/>
      <c r="E58" s="44" t="n"/>
      <c r="F58" s="37" t="n"/>
      <c r="G58" s="43" t="n"/>
      <c r="H58" s="44" t="n"/>
      <c r="I58" s="44" t="n"/>
      <c r="J58" s="44" t="n"/>
    </row>
    <row r="59" ht="30" customHeight="1">
      <c r="A59" s="6" t="n"/>
      <c r="B59" s="43" t="n"/>
      <c r="C59" s="44" t="n"/>
      <c r="D59" s="44" t="n"/>
      <c r="E59" s="44" t="n"/>
      <c r="F59" s="37" t="n"/>
      <c r="G59" s="45" t="n"/>
      <c r="H59" s="59" t="n"/>
      <c r="I59" s="59" t="n"/>
      <c r="J59" s="47" t="n"/>
    </row>
    <row r="60" ht="30" customHeight="1">
      <c r="A60" s="6" t="n"/>
      <c r="B60" s="43" t="n"/>
      <c r="C60" s="44" t="n"/>
      <c r="D60" s="44" t="n"/>
      <c r="E60" s="44" t="n"/>
      <c r="F60" s="37" t="n"/>
      <c r="G60" s="51" t="n"/>
      <c r="H60" s="58" t="n"/>
      <c r="I60" s="58" t="n"/>
      <c r="J60" s="52" t="n"/>
    </row>
    <row r="61" ht="30" customHeight="1">
      <c r="A61" s="6" t="n"/>
      <c r="B61" s="45" t="n"/>
      <c r="C61" s="67" t="n"/>
      <c r="D61" s="67" t="n"/>
      <c r="E61" s="67" t="n"/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身だしなみ</t>
        </is>
      </c>
      <c r="F63" s="37" t="n"/>
      <c r="G63" s="30" t="inlineStr">
        <is>
          <t>法務</t>
        </is>
      </c>
    </row>
    <row r="64" ht="48" customHeight="1">
      <c r="A64" s="6" t="n"/>
      <c r="B64" s="38" t="inlineStr">
        <is>
          <t>項目</t>
        </is>
      </c>
      <c r="C64" s="39" t="inlineStr">
        <is>
          <t>予算</t>
        </is>
      </c>
      <c r="D64" s="39" t="inlineStr">
        <is>
          <t>実績</t>
        </is>
      </c>
      <c r="E64" s="40" t="inlineStr">
        <is>
          <t>差額</t>
        </is>
      </c>
      <c r="F64" s="37" t="n"/>
      <c r="G64" s="71" t="inlineStr">
        <is>
          <t>法務</t>
        </is>
      </c>
      <c r="H64" s="39" t="inlineStr">
        <is>
          <t>予算</t>
        </is>
      </c>
      <c r="I64" s="39" t="inlineStr">
        <is>
          <t>実績</t>
        </is>
      </c>
      <c r="J64" s="40" t="inlineStr">
        <is>
          <t>差額</t>
        </is>
      </c>
    </row>
    <row r="65" ht="30" customHeight="1">
      <c r="A65" s="6" t="n"/>
      <c r="B65" s="43" t="inlineStr">
        <is>
          <t>{{ds.personal_care.item(G=normal)}}</t>
        </is>
      </c>
      <c r="C65" s="44" t="inlineStr">
        <is>
          <t>{{ds.personal_care.budget}}</t>
        </is>
      </c>
      <c r="D65" s="44" t="inlineStr">
        <is>
          <t>{{ds.personal_care.actual}}</t>
        </is>
      </c>
      <c r="E65" s="44" t="inlineStr">
        <is>
          <t>{{==C65-D65}}</t>
        </is>
      </c>
      <c r="F65" s="37" t="n"/>
      <c r="G65" s="43" t="inlineStr">
        <is>
          <t>{{ds.legal.item(G=normal)}}</t>
        </is>
      </c>
      <c r="H65" s="44" t="inlineStr">
        <is>
          <t>{{ds.legal.budget}}</t>
        </is>
      </c>
      <c r="I65" s="44" t="inlineStr">
        <is>
          <t>{{ds.legal.actual}}</t>
        </is>
      </c>
      <c r="J65" s="44" t="inlineStr">
        <is>
          <t>{{==H65-I65}}</t>
        </is>
      </c>
    </row>
    <row r="66" ht="30" customHeight="1">
      <c r="A66" s="6" t="n"/>
      <c r="B66" s="43" t="inlineStr">
        <is>
          <t>小計</t>
        </is>
      </c>
      <c r="C66" s="44" t="n"/>
      <c r="D66" s="44" t="n"/>
      <c r="E66" s="44" t="inlineStr">
        <is>
          <t>{{==SUBTOTAL(109,个人护理[差額])}}</t>
        </is>
      </c>
      <c r="F66" s="37" t="n"/>
      <c r="G66" s="43" t="inlineStr">
        <is>
          <t>小計</t>
        </is>
      </c>
      <c r="H66" s="44" t="n"/>
      <c r="I66" s="44" t="n"/>
      <c r="J66" s="44" t="inlineStr">
        <is>
          <t>{{==SUBTOTAL(109,法务[差額])}}</t>
        </is>
      </c>
    </row>
    <row r="67" ht="30" customHeight="1">
      <c r="A67" s="6" t="n"/>
      <c r="B67" s="43" t="n"/>
      <c r="C67" s="44" t="n"/>
      <c r="D67" s="44" t="n"/>
      <c r="E67" s="44" t="n"/>
      <c r="F67" s="37" t="n"/>
      <c r="G67" s="43" t="n"/>
      <c r="H67" s="44" t="n"/>
      <c r="I67" s="44" t="n"/>
      <c r="J67" s="44" t="n"/>
    </row>
    <row r="68" ht="30" customHeight="1">
      <c r="A68" s="6" t="n"/>
      <c r="B68" s="43" t="n"/>
      <c r="C68" s="44" t="n"/>
      <c r="D68" s="44" t="n"/>
      <c r="E68" s="44" t="n"/>
      <c r="F68" s="37" t="n"/>
      <c r="G68" s="43" t="n"/>
      <c r="H68" s="44" t="n"/>
      <c r="I68" s="44" t="n"/>
      <c r="J68" s="44" t="n"/>
    </row>
    <row r="69" ht="30" customHeight="1">
      <c r="A69" s="6" t="n"/>
      <c r="B69" s="43" t="n"/>
      <c r="C69" s="44" t="n"/>
      <c r="D69" s="44" t="n"/>
      <c r="E69" s="44" t="n"/>
      <c r="F69" s="37" t="n"/>
      <c r="G69" s="45" t="n"/>
      <c r="H69" s="59" t="n"/>
      <c r="I69" s="59" t="n"/>
      <c r="J69" s="47" t="n"/>
    </row>
    <row r="70" ht="30" customHeight="1">
      <c r="A70" s="6" t="n"/>
      <c r="B70" s="43" t="n"/>
      <c r="C70" s="44" t="n"/>
      <c r="D70" s="44" t="n"/>
      <c r="E70" s="44" t="n"/>
      <c r="F70" s="37" t="n"/>
      <c r="G70" s="50" t="n"/>
      <c r="H70" s="50" t="n"/>
      <c r="I70" s="50" t="n"/>
      <c r="J70" s="50" t="n"/>
    </row>
    <row r="71" ht="30" customHeight="1">
      <c r="A71" s="6" t="n"/>
      <c r="B71" s="43" t="n"/>
      <c r="C71" s="44" t="n"/>
      <c r="D71" s="44" t="n"/>
      <c r="E71" s="44" t="n"/>
      <c r="F71" s="37" t="n"/>
      <c r="G71" s="50" t="n"/>
      <c r="H71" s="50" t="n"/>
      <c r="I71" s="50" t="n"/>
      <c r="J71" s="50" t="n"/>
    </row>
    <row r="72" ht="30" customHeight="1">
      <c r="A72" s="6" t="n"/>
      <c r="B72" s="45" t="n"/>
      <c r="C72" s="59" t="n"/>
      <c r="D72" s="59" t="n"/>
      <c r="E72" s="47" t="n"/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予算支出合計</t>
        </is>
      </c>
      <c r="J73" s="74" t="inlineStr">
        <is>
          <t>{{==SUBTOTAL(109,住房[予算],交通[予算],保险[予算],食品[予算],宠物[予算],个人护理[予算],娱乐[予算],贷款[予算],税款[予算],存款[予算],礼品[予算],法务[予算])}}</t>
        </is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実績支出合計</t>
        </is>
      </c>
      <c r="J75" s="76" t="inlineStr">
        <is>
          <t>{{==SUBTOTAL(109,住房[実績],交通[実績],保险[実績],食品[実績],宠物[実績],个人护理[実績],娱乐[実績],贷款[実績],税款[実績],存款[実績],礼品[実績],法务[実績])}}</t>
        </is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総合差額</t>
        </is>
      </c>
      <c r="J77" s="78" t="inlineStr">
        <is>
          <t>{{==J73-J75}}</t>
        </is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.375" customWidth="1" min="1" max="1"/>
    <col width="30.625" customWidth="1" min="2" max="2"/>
    <col width="20.625" customWidth="1" min="3" max="3"/>
    <col width="15.625" customWidth="1" min="6" max="6"/>
    <col width="30.625" customWidth="1" min="7" max="7"/>
    <col width="20.625" customWidth="1" min="8" max="8"/>
    <col width="2.625" customWidth="1" min="11" max="11"/>
  </cols>
  <sheetData>
    <row r="1" ht="19.9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94.90000000000001" customHeight="1">
      <c r="A2" s="3" t="n"/>
      <c r="B2" s="4" t="inlineStr">
        <is>
          <t>個人月次予算</t>
        </is>
      </c>
      <c r="I2" s="5" t="n"/>
      <c r="J2" s="5" t="n"/>
    </row>
    <row r="3" ht="15" customHeight="1">
      <c r="A3" s="6" t="n"/>
    </row>
    <row r="4" ht="30" customHeight="1">
      <c r="A4" s="6" t="n"/>
      <c r="B4" s="7" t="inlineStr">
        <is>
          <t>予算収入</t>
        </is>
      </c>
      <c r="C4" s="79" t="n"/>
      <c r="D4" s="9" t="n"/>
      <c r="E4" s="10" t="inlineStr">
        <is>
          <t>予算残高
（収入−支出）</t>
        </is>
      </c>
      <c r="H4" s="11">
        <f>C7-J73</f>
        <v/>
      </c>
    </row>
    <row r="5" ht="30" customHeight="1">
      <c r="A5" s="6" t="n"/>
      <c r="B5" s="12" t="inlineStr">
        <is>
          <t>収入 1</t>
        </is>
      </c>
      <c r="C5" s="13" t="n">
        <v>4300</v>
      </c>
      <c r="I5" s="14" t="n"/>
    </row>
    <row r="6" ht="30" customHeight="1">
      <c r="A6" s="6" t="n"/>
      <c r="B6" s="15" t="inlineStr">
        <is>
          <t>臨時収入</t>
        </is>
      </c>
      <c r="C6" s="16" t="n">
        <v>300</v>
      </c>
      <c r="E6" s="17" t="inlineStr">
        <is>
          <t>実績残高
（収入−支出）</t>
        </is>
      </c>
      <c r="H6" s="18">
        <f>C12-J75</f>
        <v/>
      </c>
      <c r="I6" s="14" t="n"/>
    </row>
    <row r="7" ht="30" customHeight="1">
      <c r="A7" s="6" t="n"/>
      <c r="B7" s="19" t="inlineStr">
        <is>
          <t>月間収入合計</t>
        </is>
      </c>
      <c r="C7" s="20">
        <f>SUM(C5:C6)</f>
        <v/>
      </c>
      <c r="I7" s="14" t="n"/>
    </row>
    <row r="8" ht="30" customHeight="1">
      <c r="A8" s="6" t="n"/>
      <c r="E8" s="21" t="inlineStr">
        <is>
          <t>差額
（実績−予算）</t>
        </is>
      </c>
      <c r="H8" s="22">
        <f>H6-H4</f>
        <v/>
      </c>
      <c r="I8" s="14" t="n"/>
    </row>
    <row r="9" ht="30" customHeight="1">
      <c r="A9" s="6" t="n"/>
      <c r="B9" s="7" t="inlineStr">
        <is>
          <t>実績収入</t>
        </is>
      </c>
      <c r="C9" s="79" t="n"/>
      <c r="D9" s="9" t="n"/>
      <c r="I9" s="23" t="n"/>
    </row>
    <row r="10" ht="30" customHeight="1">
      <c r="A10" s="6" t="n"/>
      <c r="B10" s="15" t="inlineStr">
        <is>
          <t>収入 1</t>
        </is>
      </c>
      <c r="C10" s="16" t="n">
        <v>4000</v>
      </c>
      <c r="I10" s="14" t="n"/>
    </row>
    <row r="11" ht="30" customHeight="1">
      <c r="A11" s="6" t="n"/>
      <c r="B11" s="24" t="inlineStr">
        <is>
          <t>臨時収入</t>
        </is>
      </c>
      <c r="C11" s="25" t="n">
        <v>300</v>
      </c>
      <c r="E11" s="14" t="n"/>
      <c r="H11" s="26" t="n"/>
      <c r="I11" s="14" t="n"/>
    </row>
    <row r="12" ht="30" customHeight="1">
      <c r="A12" s="6" t="n"/>
      <c r="B12" s="19" t="inlineStr">
        <is>
          <t>月間収入合計</t>
        </is>
      </c>
      <c r="C12" s="20">
        <f>SUM(C10:C11)</f>
        <v/>
      </c>
    </row>
    <row r="13" ht="37.9" customHeight="1">
      <c r="A13" s="6" t="n"/>
      <c r="B13" s="27" t="n"/>
      <c r="C13" s="28" t="n"/>
    </row>
    <row r="14" ht="30" customHeight="1">
      <c r="A14" s="29" t="n"/>
      <c r="B14" s="30" t="inlineStr">
        <is>
          <t>住居</t>
        </is>
      </c>
      <c r="C14" s="31" t="n"/>
      <c r="D14" s="32" t="n"/>
      <c r="E14" s="32" t="n"/>
      <c r="G14" s="33" t="inlineStr">
        <is>
          <t>娯楽</t>
        </is>
      </c>
      <c r="H14" s="31" t="n"/>
      <c r="I14" s="31" t="n"/>
      <c r="J14" s="31" t="n"/>
    </row>
    <row r="15" ht="48" customHeight="1">
      <c r="A15" s="6" t="n"/>
      <c r="B15" s="34" t="inlineStr">
        <is>
          <t>項目</t>
        </is>
      </c>
      <c r="C15" s="35" t="inlineStr">
        <is>
          <t>予算</t>
        </is>
      </c>
      <c r="D15" s="35" t="inlineStr">
        <is>
          <t>実績</t>
        </is>
      </c>
      <c r="E15" s="36" t="inlineStr">
        <is>
          <t>差額</t>
        </is>
      </c>
      <c r="F15" s="37" t="n"/>
      <c r="G15" s="38" t="inlineStr">
        <is>
          <t>項目</t>
        </is>
      </c>
      <c r="H15" s="39" t="inlineStr">
        <is>
          <t>予算</t>
        </is>
      </c>
      <c r="I15" s="39" t="inlineStr">
        <is>
          <t>実績</t>
        </is>
      </c>
      <c r="J15" s="40" t="inlineStr">
        <is>
          <t>差額</t>
        </is>
      </c>
    </row>
    <row r="16" ht="30" customHeight="1">
      <c r="A16" s="6" t="n"/>
      <c r="B16" s="41" t="inlineStr">
        <is>
          <t>住宅ローン/家賃</t>
        </is>
      </c>
      <c r="C16" s="42" t="n">
        <v>1000</v>
      </c>
      <c r="D16" s="42" t="n">
        <v>1000</v>
      </c>
      <c r="E16" s="42">
        <f>C16-D16</f>
        <v/>
      </c>
      <c r="F16" s="37" t="n"/>
      <c r="G16" s="43" t="inlineStr">
        <is>
          <t>ビデオ/DVD</t>
        </is>
      </c>
      <c r="H16" s="44" t="n"/>
      <c r="I16" s="44" t="n"/>
      <c r="J16" s="44">
        <f>H16-I16</f>
        <v/>
      </c>
    </row>
    <row r="17" ht="30" customHeight="1">
      <c r="A17" s="6" t="n"/>
      <c r="B17" s="41" t="inlineStr">
        <is>
          <t>小計</t>
        </is>
      </c>
      <c r="C17" s="42" t="n">
        <v>54</v>
      </c>
      <c r="D17" s="42" t="n">
        <v>100</v>
      </c>
      <c r="E17" s="42">
        <f>C17-D17</f>
        <v/>
      </c>
      <c r="F17" s="37" t="n"/>
      <c r="G17" s="43" t="inlineStr">
        <is>
          <t>小計</t>
        </is>
      </c>
      <c r="H17" s="44" t="n"/>
      <c r="I17" s="44" t="n"/>
      <c r="J17" s="44">
        <f>H17-I17</f>
        <v/>
      </c>
    </row>
    <row r="18" ht="30" customHeight="1">
      <c r="A18" s="6" t="n"/>
      <c r="B18" s="41" t="inlineStr">
        <is>
          <t>電気</t>
        </is>
      </c>
      <c r="C18" s="42" t="n">
        <v>44</v>
      </c>
      <c r="D18" s="42" t="n">
        <v>56</v>
      </c>
      <c r="E18" s="42">
        <f>C18-D18</f>
        <v/>
      </c>
      <c r="F18" s="37" t="n"/>
      <c r="G18" s="43" t="inlineStr">
        <is>
          <t>映画</t>
        </is>
      </c>
      <c r="H18" s="44" t="n"/>
      <c r="I18" s="44" t="n"/>
      <c r="J18" s="44">
        <f>H18-I18</f>
        <v/>
      </c>
    </row>
    <row r="19" ht="30" customHeight="1">
      <c r="A19" s="6" t="n"/>
      <c r="B19" s="41" t="inlineStr">
        <is>
          <t>ガス</t>
        </is>
      </c>
      <c r="C19" s="42" t="n">
        <v>22</v>
      </c>
      <c r="D19" s="42" t="n">
        <v>28</v>
      </c>
      <c r="E19" s="42">
        <f>C19-D19</f>
        <v/>
      </c>
      <c r="F19" s="37" t="n"/>
      <c r="G19" s="43" t="inlineStr">
        <is>
          <t>コンサート</t>
        </is>
      </c>
      <c r="H19" s="44" t="n"/>
      <c r="I19" s="44" t="n"/>
      <c r="J19" s="44">
        <f>H19-I19</f>
        <v/>
      </c>
    </row>
    <row r="20" ht="30" customHeight="1">
      <c r="A20" s="6" t="n"/>
      <c r="B20" s="41" t="inlineStr">
        <is>
          <t>水道・下水</t>
        </is>
      </c>
      <c r="C20" s="42" t="n">
        <v>8</v>
      </c>
      <c r="D20" s="42" t="n">
        <v>8</v>
      </c>
      <c r="E20" s="42">
        <f>C20-D20</f>
        <v/>
      </c>
      <c r="F20" s="37" t="n"/>
      <c r="G20" s="43" t="inlineStr">
        <is>
          <t>スポーツ観戦</t>
        </is>
      </c>
      <c r="H20" s="44" t="n"/>
      <c r="I20" s="44" t="n"/>
      <c r="J20" s="44">
        <f>H20-I20</f>
        <v/>
      </c>
    </row>
    <row r="21" ht="30" customHeight="1">
      <c r="A21" s="6" t="n"/>
      <c r="B21" s="41" t="inlineStr">
        <is>
          <t>ケーブルTV</t>
        </is>
      </c>
      <c r="C21" s="42" t="n">
        <v>34</v>
      </c>
      <c r="D21" s="42" t="n">
        <v>34</v>
      </c>
      <c r="E21" s="42">
        <f>C21-D21</f>
        <v/>
      </c>
      <c r="F21" s="37" t="n"/>
      <c r="G21" s="43" t="inlineStr">
        <is>
          <t>舞台</t>
        </is>
      </c>
      <c r="H21" s="44" t="n"/>
      <c r="I21" s="44" t="n"/>
      <c r="J21" s="44">
        <f>H21-I21</f>
        <v/>
      </c>
    </row>
    <row r="22" ht="30" customHeight="1">
      <c r="A22" s="6" t="n"/>
      <c r="B22" s="41" t="inlineStr">
        <is>
          <t>ごみ処理</t>
        </is>
      </c>
      <c r="C22" s="42" t="n">
        <v>10</v>
      </c>
      <c r="D22" s="42" t="n">
        <v>10</v>
      </c>
      <c r="E22" s="42">
        <f>C22-D22</f>
        <v/>
      </c>
      <c r="F22" s="37" t="n"/>
      <c r="G22" s="43" t="inlineStr">
        <is>
          <t>その他</t>
        </is>
      </c>
      <c r="H22" s="44" t="n"/>
      <c r="I22" s="44" t="n"/>
      <c r="J22" s="44">
        <f>H22-I22</f>
        <v/>
      </c>
    </row>
    <row r="23" ht="30" customHeight="1">
      <c r="A23" s="6" t="n"/>
      <c r="B23" s="41" t="inlineStr">
        <is>
          <t>修繕・メンテ</t>
        </is>
      </c>
      <c r="C23" s="42" t="n">
        <v>23</v>
      </c>
      <c r="D23" s="42" t="n">
        <v>0</v>
      </c>
      <c r="E23" s="42">
        <f>C23-D23</f>
        <v/>
      </c>
      <c r="F23" s="37" t="n"/>
      <c r="G23" s="43" t="inlineStr">
        <is>
          <t>その他</t>
        </is>
      </c>
      <c r="H23" s="44" t="n"/>
      <c r="I23" s="44" t="n"/>
      <c r="J23" s="44">
        <f>H23-I23</f>
        <v/>
      </c>
    </row>
    <row r="24" ht="30" customHeight="1">
      <c r="A24" s="6" t="n"/>
      <c r="B24" s="41" t="inlineStr">
        <is>
          <t>日用品</t>
        </is>
      </c>
      <c r="C24" s="42" t="n">
        <v>0</v>
      </c>
      <c r="D24" s="42" t="n">
        <v>0</v>
      </c>
      <c r="E24" s="42">
        <f>C24-D24</f>
        <v/>
      </c>
      <c r="F24" s="37" t="n"/>
      <c r="G24" s="43" t="inlineStr">
        <is>
          <t>その他</t>
        </is>
      </c>
      <c r="H24" s="44" t="n"/>
      <c r="I24" s="44" t="n"/>
      <c r="J24" s="44">
        <f>H24-I24</f>
        <v/>
      </c>
    </row>
    <row r="25" ht="30" customHeight="1">
      <c r="A25" s="6" t="n"/>
      <c r="B25" s="41" t="inlineStr">
        <is>
          <t>その他</t>
        </is>
      </c>
      <c r="C25" s="42" t="n">
        <v>0</v>
      </c>
      <c r="D25" s="42" t="n">
        <v>0</v>
      </c>
      <c r="E25" s="42">
        <f>C25-D25</f>
        <v/>
      </c>
      <c r="F25" s="37" t="n"/>
      <c r="G25" s="45" t="inlineStr">
        <is>
          <t>小計</t>
        </is>
      </c>
      <c r="H25" s="46" t="n"/>
      <c r="I25" s="46" t="n"/>
      <c r="J25" s="47">
        <f>SUBTOTAL(109,娱乐[差額])</f>
        <v/>
      </c>
    </row>
    <row r="26" ht="30" customHeight="1">
      <c r="A26" s="6" t="n"/>
      <c r="B26" s="48" t="inlineStr">
        <is>
          <t>小計</t>
        </is>
      </c>
      <c r="C26" s="49" t="n"/>
      <c r="D26" s="49" t="n"/>
      <c r="E26" s="42">
        <f>SUBTOTAL(109,住房[差額])</f>
        <v/>
      </c>
      <c r="F26" s="37" t="n"/>
      <c r="G26" s="50" t="n"/>
      <c r="H26" s="50" t="n"/>
      <c r="I26" s="50" t="n"/>
      <c r="J26" s="50" t="n"/>
    </row>
    <row r="27" ht="37.9" customHeight="1">
      <c r="A27" s="6" t="n"/>
      <c r="B27" s="51" t="n"/>
      <c r="C27" s="52" t="n"/>
      <c r="D27" s="52" t="n"/>
      <c r="E27" s="52" t="n"/>
      <c r="F27" s="37" t="n"/>
      <c r="G27" s="50" t="n"/>
      <c r="H27" s="50" t="n"/>
      <c r="I27" s="50" t="n"/>
      <c r="J27" s="50" t="n"/>
    </row>
    <row r="28" ht="30" customHeight="1">
      <c r="A28" s="6" t="n"/>
      <c r="B28" s="30" t="inlineStr">
        <is>
          <t>交通</t>
        </is>
      </c>
      <c r="F28" s="37" t="n"/>
      <c r="G28" s="33" t="inlineStr">
        <is>
          <t>ローン</t>
        </is>
      </c>
    </row>
    <row r="29" ht="48" customHeight="1">
      <c r="A29" s="6" t="n"/>
      <c r="B29" s="53" t="inlineStr">
        <is>
          <t>項目</t>
        </is>
      </c>
      <c r="C29" s="39" t="inlineStr">
        <is>
          <t>予算</t>
        </is>
      </c>
      <c r="D29" s="39" t="inlineStr">
        <is>
          <t>実績</t>
        </is>
      </c>
      <c r="E29" s="40" t="inlineStr">
        <is>
          <t>差額</t>
        </is>
      </c>
      <c r="F29" s="37" t="n"/>
      <c r="G29" s="54" t="inlineStr">
        <is>
          <t>項目</t>
        </is>
      </c>
      <c r="H29" s="39" t="inlineStr">
        <is>
          <t>予算</t>
        </is>
      </c>
      <c r="I29" s="39" t="inlineStr">
        <is>
          <t>実績</t>
        </is>
      </c>
      <c r="J29" s="40" t="inlineStr">
        <is>
          <t>差額</t>
        </is>
      </c>
    </row>
    <row r="30" ht="30" customHeight="1">
      <c r="A30" s="6" t="n"/>
      <c r="B30" s="43" t="inlineStr">
        <is>
          <t>自動車ローン</t>
        </is>
      </c>
      <c r="C30" s="44" t="n"/>
      <c r="D30" s="44" t="n"/>
      <c r="E30" s="44">
        <f>C30-D30</f>
        <v/>
      </c>
      <c r="F30" s="37" t="n"/>
      <c r="G30" s="43" t="inlineStr">
        <is>
          <t>個人</t>
        </is>
      </c>
      <c r="H30" s="44" t="n"/>
      <c r="I30" s="44" t="n"/>
      <c r="J30" s="44">
        <f>H30-I30</f>
        <v/>
      </c>
    </row>
    <row r="31" ht="30" customHeight="1">
      <c r="A31" s="6" t="n"/>
      <c r="B31" s="43" t="inlineStr">
        <is>
          <t>小計</t>
        </is>
      </c>
      <c r="C31" s="44" t="n"/>
      <c r="D31" s="44" t="n"/>
      <c r="E31" s="44">
        <f>C31-D31</f>
        <v/>
      </c>
      <c r="F31" s="37" t="n"/>
      <c r="G31" s="43" t="inlineStr">
        <is>
          <t>小計</t>
        </is>
      </c>
      <c r="H31" s="44" t="n"/>
      <c r="I31" s="44" t="n"/>
      <c r="J31" s="44">
        <f>H31-I31</f>
        <v/>
      </c>
    </row>
    <row r="32" ht="30" customHeight="1">
      <c r="A32" s="6" t="n"/>
      <c r="B32" s="43" t="inlineStr">
        <is>
          <t>保険</t>
        </is>
      </c>
      <c r="C32" s="44" t="n"/>
      <c r="D32" s="44" t="n"/>
      <c r="E32" s="44">
        <f>C32-D32</f>
        <v/>
      </c>
      <c r="F32" s="37" t="n"/>
      <c r="G32" s="43" t="inlineStr">
        <is>
          <t>クレジットカード</t>
        </is>
      </c>
      <c r="H32" s="44" t="n"/>
      <c r="I32" s="44" t="n"/>
      <c r="J32" s="44">
        <f>H32-I32</f>
        <v/>
      </c>
    </row>
    <row r="33" ht="30" customHeight="1">
      <c r="A33" s="6" t="n"/>
      <c r="B33" s="43" t="inlineStr">
        <is>
          <t>免許・登録</t>
        </is>
      </c>
      <c r="C33" s="44" t="n"/>
      <c r="D33" s="44" t="n"/>
      <c r="E33" s="44">
        <f>C33-D33</f>
        <v/>
      </c>
      <c r="F33" s="37" t="n"/>
      <c r="G33" s="43" t="inlineStr">
        <is>
          <t>クレジットカード</t>
        </is>
      </c>
      <c r="H33" s="44" t="n"/>
      <c r="I33" s="44" t="n"/>
      <c r="J33" s="44">
        <f>H33-I33</f>
        <v/>
      </c>
    </row>
    <row r="34" ht="30" customHeight="1">
      <c r="A34" s="6" t="n"/>
      <c r="B34" s="43" t="inlineStr">
        <is>
          <t>燃料</t>
        </is>
      </c>
      <c r="C34" s="44" t="n"/>
      <c r="D34" s="44" t="n"/>
      <c r="E34" s="44">
        <f>C34-D34</f>
        <v/>
      </c>
      <c r="F34" s="37" t="n"/>
      <c r="G34" s="43" t="inlineStr">
        <is>
          <t>クレジットカード</t>
        </is>
      </c>
      <c r="H34" s="44" t="n"/>
      <c r="I34" s="44" t="n"/>
      <c r="J34" s="44">
        <f>H34-I34</f>
        <v/>
      </c>
    </row>
    <row r="35" ht="30" customHeight="1">
      <c r="A35" s="6" t="n"/>
      <c r="B35" s="43" t="inlineStr">
        <is>
          <t>整備</t>
        </is>
      </c>
      <c r="C35" s="44" t="n"/>
      <c r="D35" s="44" t="n"/>
      <c r="E35" s="44">
        <f>C35-D35</f>
        <v/>
      </c>
      <c r="F35" s="37" t="n"/>
      <c r="G35" s="43" t="inlineStr">
        <is>
          <t>その他</t>
        </is>
      </c>
      <c r="H35" s="44" t="n"/>
      <c r="I35" s="44" t="n"/>
      <c r="J35" s="44">
        <f>H35-I35</f>
        <v/>
      </c>
    </row>
    <row r="36" ht="30" customHeight="1">
      <c r="A36" s="6" t="n"/>
      <c r="B36" s="43" t="inlineStr">
        <is>
          <t>その他</t>
        </is>
      </c>
      <c r="C36" s="44" t="n"/>
      <c r="D36" s="44" t="n"/>
      <c r="E36" s="44">
        <f>C36-D36</f>
        <v/>
      </c>
      <c r="F36" s="37" t="n"/>
      <c r="G36" s="45" t="inlineStr">
        <is>
          <t>小計</t>
        </is>
      </c>
      <c r="H36" s="55" t="n"/>
      <c r="I36" s="55" t="n"/>
      <c r="J36" s="47">
        <f>SUBTOTAL(109,贷款[差額])</f>
        <v/>
      </c>
    </row>
    <row r="37" ht="30" customHeight="1">
      <c r="A37" s="6" t="n"/>
      <c r="B37" s="45" t="inlineStr">
        <is>
          <t>小計</t>
        </is>
      </c>
      <c r="C37" s="55" t="n"/>
      <c r="D37" s="55" t="n"/>
      <c r="E37" s="47">
        <f>SUBTOTAL(109,交通[差額])</f>
        <v/>
      </c>
      <c r="F37" s="37" t="n"/>
      <c r="G37" s="51" t="n"/>
      <c r="H37" s="56" t="n"/>
      <c r="I37" s="56" t="n"/>
      <c r="J37" s="56" t="n"/>
    </row>
    <row r="38" ht="37.9" customHeight="1">
      <c r="A38" s="6" t="n"/>
      <c r="B38" s="57" t="n"/>
      <c r="C38" s="58" t="n"/>
      <c r="D38" s="58" t="n"/>
      <c r="E38" s="52" t="n"/>
      <c r="F38" s="37" t="n"/>
      <c r="G38" s="50" t="n"/>
    </row>
    <row r="39" ht="30" customHeight="1">
      <c r="A39" s="6" t="n"/>
      <c r="B39" s="33" t="inlineStr">
        <is>
          <t>保険</t>
        </is>
      </c>
      <c r="F39" s="37" t="n"/>
      <c r="G39" s="33" t="inlineStr">
        <is>
          <t>税金</t>
        </is>
      </c>
    </row>
    <row r="40" ht="48" customHeight="1">
      <c r="A40" s="6" t="n"/>
      <c r="B40" s="54" t="inlineStr">
        <is>
          <t>項目</t>
        </is>
      </c>
      <c r="C40" s="39" t="inlineStr">
        <is>
          <t>予算</t>
        </is>
      </c>
      <c r="D40" s="39" t="inlineStr">
        <is>
          <t>実績</t>
        </is>
      </c>
      <c r="E40" s="40" t="inlineStr">
        <is>
          <t>差額</t>
        </is>
      </c>
      <c r="F40" s="37" t="n"/>
      <c r="G40" s="38" t="inlineStr">
        <is>
          <t>項目</t>
        </is>
      </c>
      <c r="H40" s="39" t="inlineStr">
        <is>
          <t>予算</t>
        </is>
      </c>
      <c r="I40" s="39" t="inlineStr">
        <is>
          <t>実績</t>
        </is>
      </c>
      <c r="J40" s="40" t="inlineStr">
        <is>
          <t>差額</t>
        </is>
      </c>
    </row>
    <row r="41" ht="30" customHeight="1">
      <c r="A41" s="6" t="n"/>
      <c r="B41" s="43" t="inlineStr">
        <is>
          <t>住宅</t>
        </is>
      </c>
      <c r="C41" s="44" t="n"/>
      <c r="D41" s="44" t="n"/>
      <c r="E41" s="44">
        <f>C41-D41</f>
        <v/>
      </c>
      <c r="F41" s="37" t="n"/>
      <c r="G41" s="43" t="inlineStr">
        <is>
          <t>国税</t>
        </is>
      </c>
      <c r="H41" s="44" t="n"/>
      <c r="I41" s="44" t="n"/>
      <c r="J41" s="44">
        <f>H41-I41</f>
        <v/>
      </c>
    </row>
    <row r="42" ht="30" customHeight="1">
      <c r="A42" s="6" t="n"/>
      <c r="B42" s="43" t="inlineStr">
        <is>
          <t>小計</t>
        </is>
      </c>
      <c r="C42" s="44" t="n"/>
      <c r="D42" s="44" t="n"/>
      <c r="E42" s="44">
        <f>C42-D42</f>
        <v/>
      </c>
      <c r="F42" s="37" t="n"/>
      <c r="G42" s="43" t="inlineStr">
        <is>
          <t>小計</t>
        </is>
      </c>
      <c r="H42" s="44" t="n"/>
      <c r="I42" s="44" t="n"/>
      <c r="J42" s="44">
        <f>H42-I42</f>
        <v/>
      </c>
    </row>
    <row r="43" ht="30" customHeight="1">
      <c r="A43" s="6" t="n"/>
      <c r="B43" s="43" t="inlineStr">
        <is>
          <t>生命</t>
        </is>
      </c>
      <c r="C43" s="44" t="n"/>
      <c r="D43" s="44" t="n"/>
      <c r="E43" s="44">
        <f>C43-D43</f>
        <v/>
      </c>
      <c r="F43" s="37" t="n"/>
      <c r="G43" s="43" t="inlineStr">
        <is>
          <t>市町村税</t>
        </is>
      </c>
      <c r="H43" s="44" t="n"/>
      <c r="I43" s="44" t="n"/>
      <c r="J43" s="44">
        <f>H43-I43</f>
        <v/>
      </c>
    </row>
    <row r="44" ht="30" customHeight="1">
      <c r="A44" s="6" t="n"/>
      <c r="B44" s="43" t="inlineStr">
        <is>
          <t>その他</t>
        </is>
      </c>
      <c r="C44" s="44" t="n"/>
      <c r="D44" s="44" t="n"/>
      <c r="E44" s="44">
        <f>C44-D44</f>
        <v/>
      </c>
      <c r="F44" s="37" t="n"/>
      <c r="G44" s="43" t="inlineStr">
        <is>
          <t>その他</t>
        </is>
      </c>
      <c r="H44" s="44" t="n"/>
      <c r="I44" s="44" t="n"/>
      <c r="J44" s="44">
        <f>H44-I44</f>
        <v/>
      </c>
    </row>
    <row r="45" ht="30" customHeight="1">
      <c r="A45" s="6" t="n"/>
      <c r="B45" s="45" t="inlineStr">
        <is>
          <t>小計</t>
        </is>
      </c>
      <c r="C45" s="59" t="n"/>
      <c r="D45" s="59" t="n"/>
      <c r="E45" s="47">
        <f>SUBTOTAL(109,保险[差額])</f>
        <v/>
      </c>
      <c r="F45" s="37" t="n"/>
      <c r="G45" s="45" t="inlineStr">
        <is>
          <t>小計</t>
        </is>
      </c>
      <c r="H45" s="55" t="n"/>
      <c r="I45" s="55" t="n"/>
      <c r="J45" s="47">
        <f>SUBTOTAL(109,税款[差額])</f>
        <v/>
      </c>
    </row>
    <row r="46" ht="37.9" customHeight="1">
      <c r="A46" s="6" t="n"/>
      <c r="B46" s="60" t="n"/>
      <c r="C46" s="61" t="n"/>
      <c r="D46" s="61" t="n"/>
      <c r="E46" s="44" t="n"/>
      <c r="F46" s="37" t="n"/>
      <c r="G46" s="50" t="n"/>
      <c r="H46" s="50" t="n"/>
      <c r="I46" s="50" t="n"/>
      <c r="J46" s="50" t="n"/>
    </row>
    <row r="47" ht="30" customHeight="1">
      <c r="A47" s="6" t="n"/>
      <c r="B47" s="30" t="inlineStr">
        <is>
          <t>食費</t>
        </is>
      </c>
      <c r="F47" s="37" t="n"/>
      <c r="G47" s="33" t="inlineStr">
        <is>
          <t>貯蓄・投資</t>
        </is>
      </c>
    </row>
    <row r="48" ht="49.9" customHeight="1">
      <c r="A48" s="6" t="n"/>
      <c r="B48" s="62" t="inlineStr">
        <is>
          <t>項目</t>
        </is>
      </c>
      <c r="C48" s="39" t="inlineStr">
        <is>
          <t>予算</t>
        </is>
      </c>
      <c r="D48" s="39" t="inlineStr">
        <is>
          <t>実績</t>
        </is>
      </c>
      <c r="E48" s="40" t="inlineStr">
        <is>
          <t>差額</t>
        </is>
      </c>
      <c r="F48" s="37" t="n"/>
      <c r="G48" s="38" t="inlineStr">
        <is>
          <t>項目</t>
        </is>
      </c>
      <c r="H48" s="39" t="inlineStr">
        <is>
          <t>予算</t>
        </is>
      </c>
      <c r="I48" s="39" t="inlineStr">
        <is>
          <t>実績</t>
        </is>
      </c>
      <c r="J48" s="40" t="inlineStr">
        <is>
          <t>差額</t>
        </is>
      </c>
    </row>
    <row r="49" ht="30" customHeight="1">
      <c r="A49" s="6" t="n"/>
      <c r="B49" s="43" t="inlineStr">
        <is>
          <t>食料品</t>
        </is>
      </c>
      <c r="C49" s="44" t="n"/>
      <c r="D49" s="44" t="n"/>
      <c r="E49" s="44">
        <f>C49-D49</f>
        <v/>
      </c>
      <c r="F49" s="37" t="n"/>
      <c r="G49" s="43" t="inlineStr">
        <is>
          <t>年金口座</t>
        </is>
      </c>
      <c r="H49" s="44" t="n"/>
      <c r="I49" s="44" t="n"/>
      <c r="J49" s="44">
        <f>H49-I49</f>
        <v/>
      </c>
    </row>
    <row r="50" ht="30" customHeight="1">
      <c r="A50" s="6" t="n"/>
      <c r="B50" s="43" t="inlineStr">
        <is>
          <t>小計</t>
        </is>
      </c>
      <c r="C50" s="44" t="n"/>
      <c r="D50" s="44" t="n"/>
      <c r="E50" s="44">
        <f>C50-D50</f>
        <v/>
      </c>
      <c r="F50" s="37" t="n"/>
      <c r="G50" s="43" t="inlineStr">
        <is>
          <t>小計</t>
        </is>
      </c>
      <c r="H50" s="44" t="n"/>
      <c r="I50" s="44" t="n"/>
      <c r="J50" s="44">
        <f>H50-I50</f>
        <v/>
      </c>
    </row>
    <row r="51" ht="30" customHeight="1">
      <c r="A51" s="6" t="n"/>
      <c r="B51" s="43" t="inlineStr">
        <is>
          <t>その他</t>
        </is>
      </c>
      <c r="C51" s="44" t="n"/>
      <c r="D51" s="44" t="n"/>
      <c r="E51" s="44">
        <f>C51-D51</f>
        <v/>
      </c>
      <c r="F51" s="37" t="n"/>
      <c r="G51" s="43" t="inlineStr">
        <is>
          <t>その他</t>
        </is>
      </c>
      <c r="H51" s="44" t="n"/>
      <c r="I51" s="44" t="n"/>
      <c r="J51" s="44">
        <f>H51-I51</f>
        <v/>
      </c>
    </row>
    <row r="52" ht="30" customHeight="1">
      <c r="A52" s="6" t="n"/>
      <c r="B52" s="45" t="inlineStr">
        <is>
          <t>小計</t>
        </is>
      </c>
      <c r="C52" s="59" t="n"/>
      <c r="D52" s="59" t="n"/>
      <c r="E52" s="47">
        <f>SUBTOTAL(109,食品[差額])</f>
        <v/>
      </c>
      <c r="F52" s="37" t="n"/>
      <c r="G52" s="45" t="inlineStr">
        <is>
          <t>小計</t>
        </is>
      </c>
      <c r="H52" s="55" t="n"/>
      <c r="I52" s="55" t="n"/>
      <c r="J52" s="47">
        <f>SUBTOTAL(109,存款[差額])</f>
        <v/>
      </c>
    </row>
    <row r="53" ht="37.9" customHeight="1">
      <c r="A53" s="6" t="n"/>
      <c r="B53" s="63" t="n"/>
      <c r="C53" s="56" t="n"/>
      <c r="D53" s="56" t="n"/>
      <c r="E53" s="56" t="n"/>
      <c r="F53" s="37" t="n"/>
      <c r="G53" s="64" t="n"/>
      <c r="H53" s="65" t="n"/>
      <c r="I53" s="65" t="n"/>
      <c r="J53" s="65" t="n"/>
    </row>
    <row r="54" ht="30" customHeight="1">
      <c r="A54" s="6" t="n"/>
      <c r="B54" s="30" t="inlineStr">
        <is>
          <t>ペット</t>
        </is>
      </c>
      <c r="F54" s="37" t="n"/>
      <c r="G54" s="33" t="inlineStr">
        <is>
          <t>贈答・寄付</t>
        </is>
      </c>
    </row>
    <row r="55" ht="48" customHeight="1">
      <c r="A55" s="6" t="n"/>
      <c r="B55" s="66" t="inlineStr">
        <is>
          <t>項目</t>
        </is>
      </c>
      <c r="C55" s="39" t="inlineStr">
        <is>
          <t>予算</t>
        </is>
      </c>
      <c r="D55" s="39" t="inlineStr">
        <is>
          <t>実績</t>
        </is>
      </c>
      <c r="E55" s="40" t="inlineStr">
        <is>
          <t>差額</t>
        </is>
      </c>
      <c r="F55" s="37" t="n"/>
      <c r="G55" s="54" t="inlineStr">
        <is>
          <t>項目</t>
        </is>
      </c>
      <c r="H55" s="39" t="inlineStr">
        <is>
          <t>予算</t>
        </is>
      </c>
      <c r="I55" s="39" t="inlineStr">
        <is>
          <t>実績</t>
        </is>
      </c>
      <c r="J55" s="40" t="inlineStr">
        <is>
          <t>差額</t>
        </is>
      </c>
    </row>
    <row r="56" ht="30" customHeight="1">
      <c r="A56" s="6" t="n"/>
      <c r="B56" s="43" t="inlineStr">
        <is>
          <t>食費</t>
        </is>
      </c>
      <c r="C56" s="44" t="n"/>
      <c r="D56" s="44" t="n"/>
      <c r="E56" s="44">
        <f>C56-D56</f>
        <v/>
      </c>
      <c r="F56" s="37" t="n"/>
      <c r="G56" s="43" t="inlineStr">
        <is>
          <t>寄付 1</t>
        </is>
      </c>
      <c r="H56" s="44" t="n"/>
      <c r="I56" s="44" t="n"/>
      <c r="J56" s="44">
        <f>H56-I56</f>
        <v/>
      </c>
    </row>
    <row r="57" ht="30" customHeight="1">
      <c r="A57" s="6" t="n"/>
      <c r="B57" s="43" t="inlineStr">
        <is>
          <t>小計</t>
        </is>
      </c>
      <c r="C57" s="44" t="n"/>
      <c r="D57" s="44" t="n"/>
      <c r="E57" s="44">
        <f>C57-D57</f>
        <v/>
      </c>
      <c r="F57" s="37" t="n"/>
      <c r="G57" s="43" t="inlineStr">
        <is>
          <t>小計</t>
        </is>
      </c>
      <c r="H57" s="44" t="n"/>
      <c r="I57" s="44" t="n"/>
      <c r="J57" s="44">
        <f>H57-I57</f>
        <v/>
      </c>
    </row>
    <row r="58" ht="30" customHeight="1">
      <c r="A58" s="6" t="n"/>
      <c r="B58" s="43" t="inlineStr">
        <is>
          <t>トリミング</t>
        </is>
      </c>
      <c r="C58" s="44" t="n"/>
      <c r="D58" s="44" t="n"/>
      <c r="E58" s="44">
        <f>C58-D58</f>
        <v/>
      </c>
      <c r="F58" s="37" t="n"/>
      <c r="G58" s="43" t="inlineStr">
        <is>
          <t>寄付 3</t>
        </is>
      </c>
      <c r="H58" s="44" t="n"/>
      <c r="I58" s="44" t="n"/>
      <c r="J58" s="44">
        <f>H58-I58</f>
        <v/>
      </c>
    </row>
    <row r="59" ht="30" customHeight="1">
      <c r="A59" s="6" t="n"/>
      <c r="B59" s="43" t="inlineStr">
        <is>
          <t>おもちゃ</t>
        </is>
      </c>
      <c r="C59" s="44" t="n"/>
      <c r="D59" s="44" t="n"/>
      <c r="E59" s="44">
        <f>C59-D59</f>
        <v/>
      </c>
      <c r="F59" s="37" t="n"/>
      <c r="G59" s="45" t="inlineStr">
        <is>
          <t>小計</t>
        </is>
      </c>
      <c r="H59" s="59" t="n"/>
      <c r="I59" s="59" t="n"/>
      <c r="J59" s="47">
        <f>SUBTOTAL(109,礼品[差額])</f>
        <v/>
      </c>
    </row>
    <row r="60" ht="30" customHeight="1">
      <c r="A60" s="6" t="n"/>
      <c r="B60" s="43" t="inlineStr">
        <is>
          <t>その他</t>
        </is>
      </c>
      <c r="C60" s="44" t="n"/>
      <c r="D60" s="44" t="n"/>
      <c r="E60" s="44">
        <f>C60-D60</f>
        <v/>
      </c>
      <c r="F60" s="37" t="n"/>
      <c r="G60" s="51" t="n"/>
      <c r="H60" s="58" t="n"/>
      <c r="I60" s="58" t="n"/>
      <c r="J60" s="52" t="n"/>
    </row>
    <row r="61" ht="30" customHeight="1">
      <c r="A61" s="6" t="n"/>
      <c r="B61" s="45" t="inlineStr">
        <is>
          <t>小計</t>
        </is>
      </c>
      <c r="C61" s="67" t="n"/>
      <c r="D61" s="67" t="n"/>
      <c r="E61" s="67">
        <f>SUBTOTAL(109,宠物[差額])</f>
        <v/>
      </c>
      <c r="F61" s="37" t="n"/>
      <c r="G61" s="51" t="n"/>
      <c r="H61" s="58" t="n"/>
      <c r="I61" s="58" t="n"/>
      <c r="J61" s="52" t="n"/>
    </row>
    <row r="62" ht="37.9" customHeight="1">
      <c r="A62" s="6" t="n"/>
      <c r="B62" s="57" t="n"/>
      <c r="C62" s="68" t="n"/>
      <c r="D62" s="68" t="n"/>
      <c r="E62" s="68" t="n"/>
      <c r="F62" s="37" t="n"/>
      <c r="G62" s="69" t="n"/>
      <c r="H62" s="58" t="n"/>
      <c r="I62" s="58" t="n"/>
      <c r="J62" s="58" t="n"/>
    </row>
    <row r="63" ht="30" customHeight="1">
      <c r="A63" s="6" t="n"/>
      <c r="B63" s="70" t="inlineStr">
        <is>
          <t>身だしなみ</t>
        </is>
      </c>
      <c r="F63" s="37" t="n"/>
      <c r="G63" s="30" t="inlineStr">
        <is>
          <t>法務</t>
        </is>
      </c>
    </row>
    <row r="64" ht="48" customHeight="1">
      <c r="A64" s="6" t="n"/>
      <c r="B64" s="38" t="inlineStr">
        <is>
          <t>項目</t>
        </is>
      </c>
      <c r="C64" s="39" t="inlineStr">
        <is>
          <t>予算</t>
        </is>
      </c>
      <c r="D64" s="39" t="inlineStr">
        <is>
          <t>実績</t>
        </is>
      </c>
      <c r="E64" s="40" t="inlineStr">
        <is>
          <t>差額</t>
        </is>
      </c>
      <c r="F64" s="37" t="n"/>
      <c r="G64" s="71" t="inlineStr">
        <is>
          <t>法務</t>
        </is>
      </c>
      <c r="H64" s="39" t="inlineStr">
        <is>
          <t>予算</t>
        </is>
      </c>
      <c r="I64" s="39" t="inlineStr">
        <is>
          <t>実績</t>
        </is>
      </c>
      <c r="J64" s="40" t="inlineStr">
        <is>
          <t>差額</t>
        </is>
      </c>
    </row>
    <row r="65" ht="30" customHeight="1">
      <c r="A65" s="6" t="n"/>
      <c r="B65" s="43" t="inlineStr">
        <is>
          <t>医療</t>
        </is>
      </c>
      <c r="C65" s="44" t="n"/>
      <c r="D65" s="44" t="n"/>
      <c r="E65" s="44">
        <f>C65-D65</f>
        <v/>
      </c>
      <c r="F65" s="37" t="n"/>
      <c r="G65" s="43" t="inlineStr">
        <is>
          <t>弁護士</t>
        </is>
      </c>
      <c r="H65" s="44" t="n"/>
      <c r="I65" s="44" t="n"/>
      <c r="J65" s="44">
        <f>H65-I65</f>
        <v/>
      </c>
    </row>
    <row r="66" ht="30" customHeight="1">
      <c r="A66" s="6" t="n"/>
      <c r="B66" s="43" t="inlineStr">
        <is>
          <t>小計</t>
        </is>
      </c>
      <c r="C66" s="44" t="n"/>
      <c r="D66" s="44" t="n"/>
      <c r="E66" s="44">
        <f>C66-D66</f>
        <v/>
      </c>
      <c r="F66" s="37" t="n"/>
      <c r="G66" s="43" t="inlineStr">
        <is>
          <t>小計</t>
        </is>
      </c>
      <c r="H66" s="44" t="n"/>
      <c r="I66" s="44" t="n"/>
      <c r="J66" s="44">
        <f>H66-I66</f>
        <v/>
      </c>
    </row>
    <row r="67" ht="30" customHeight="1">
      <c r="A67" s="6" t="n"/>
      <c r="B67" s="43" t="inlineStr">
        <is>
          <t>衣類</t>
        </is>
      </c>
      <c r="C67" s="44" t="n"/>
      <c r="D67" s="44" t="n"/>
      <c r="E67" s="44">
        <f>C67-D67</f>
        <v/>
      </c>
      <c r="F67" s="37" t="n"/>
      <c r="G67" s="43" t="inlineStr">
        <is>
          <t>判決・和解金</t>
        </is>
      </c>
      <c r="H67" s="44" t="n"/>
      <c r="I67" s="44" t="n"/>
      <c r="J67" s="44">
        <f>H67-I67</f>
        <v/>
      </c>
    </row>
    <row r="68" ht="30" customHeight="1">
      <c r="A68" s="6" t="n"/>
      <c r="B68" s="43" t="inlineStr">
        <is>
          <t>クリーニング</t>
        </is>
      </c>
      <c r="C68" s="44" t="n"/>
      <c r="D68" s="44" t="n"/>
      <c r="E68" s="44">
        <f>C68-D68</f>
        <v/>
      </c>
      <c r="F68" s="37" t="n"/>
      <c r="G68" s="43" t="inlineStr">
        <is>
          <t>その他</t>
        </is>
      </c>
      <c r="H68" s="44" t="n"/>
      <c r="I68" s="44" t="n"/>
      <c r="J68" s="44">
        <f>H68-I68</f>
        <v/>
      </c>
    </row>
    <row r="69" ht="30" customHeight="1">
      <c r="A69" s="6" t="n"/>
      <c r="B69" s="43" t="inlineStr">
        <is>
          <t>フィットネスクラブ</t>
        </is>
      </c>
      <c r="C69" s="44" t="n"/>
      <c r="D69" s="44" t="n"/>
      <c r="E69" s="44">
        <f>C69-D69</f>
        <v/>
      </c>
      <c r="F69" s="37" t="n"/>
      <c r="G69" s="45" t="inlineStr">
        <is>
          <t>小計</t>
        </is>
      </c>
      <c r="H69" s="59" t="n"/>
      <c r="I69" s="59" t="n"/>
      <c r="J69" s="47">
        <f>SUBTOTAL(109,法务[差額])</f>
        <v/>
      </c>
    </row>
    <row r="70" ht="30" customHeight="1">
      <c r="A70" s="6" t="n"/>
      <c r="B70" s="43" t="inlineStr">
        <is>
          <t>会費</t>
        </is>
      </c>
      <c r="C70" s="44" t="n"/>
      <c r="D70" s="44" t="n"/>
      <c r="E70" s="44">
        <f>C70-D70</f>
        <v/>
      </c>
      <c r="F70" s="37" t="n"/>
      <c r="G70" s="50" t="n"/>
      <c r="H70" s="50" t="n"/>
      <c r="I70" s="50" t="n"/>
      <c r="J70" s="50" t="n"/>
    </row>
    <row r="71" ht="30" customHeight="1">
      <c r="A71" s="6" t="n"/>
      <c r="B71" s="43" t="inlineStr">
        <is>
          <t>その他</t>
        </is>
      </c>
      <c r="C71" s="44" t="n"/>
      <c r="D71" s="44" t="n"/>
      <c r="E71" s="44">
        <f>C71-D71</f>
        <v/>
      </c>
      <c r="F71" s="37" t="n"/>
      <c r="G71" s="50" t="n"/>
      <c r="H71" s="50" t="n"/>
      <c r="I71" s="50" t="n"/>
      <c r="J71" s="50" t="n"/>
    </row>
    <row r="72" ht="30" customHeight="1">
      <c r="A72" s="6" t="n"/>
      <c r="B72" s="45" t="inlineStr">
        <is>
          <t>小計</t>
        </is>
      </c>
      <c r="C72" s="59" t="n"/>
      <c r="D72" s="59" t="n"/>
      <c r="E72" s="47">
        <f>SUBTOTAL(109,个人护理[差額])</f>
        <v/>
      </c>
      <c r="F72" s="37" t="n"/>
      <c r="G72" s="50" t="n"/>
      <c r="H72" s="50" t="n"/>
      <c r="I72" s="50" t="n"/>
      <c r="J72" s="50" t="n"/>
    </row>
    <row r="73" ht="30" customHeight="1">
      <c r="A73" s="6" t="n"/>
      <c r="B73" s="72" t="n"/>
      <c r="C73" s="72" t="n"/>
      <c r="D73" s="72" t="n"/>
      <c r="E73" s="72" t="n"/>
      <c r="F73" s="37" t="n"/>
      <c r="G73" s="73" t="inlineStr">
        <is>
          <t>予算支出合計</t>
        </is>
      </c>
      <c r="J73" s="74">
        <f>SUBTOTAL(109,住房[予算],交通[予算],保险[予算],食品[予算],宠物[予算],个人护理[予算],娱乐[予算],贷款[予算],税款[予算],存款[予算],礼品[予算],法务[予算])</f>
        <v/>
      </c>
    </row>
    <row r="74" ht="30" customHeight="1">
      <c r="A74" s="6" t="n"/>
      <c r="F74" s="37" t="n"/>
    </row>
    <row r="75" ht="30" customHeight="1">
      <c r="A75" s="6" t="n"/>
      <c r="F75" s="37" t="n"/>
      <c r="G75" s="75" t="inlineStr">
        <is>
          <t>実績支出合計</t>
        </is>
      </c>
      <c r="J75" s="76">
        <f>SUBTOTAL(109,住房[実績],交通[実績],保险[実績],食品[実績],宠物[実績],个人护理[実績],娱乐[実績],贷款[実績],税款[実績],存款[実績],礼品[実績],法务[実績])</f>
        <v/>
      </c>
    </row>
    <row r="76" ht="30" customHeight="1">
      <c r="A76" s="6" t="n"/>
      <c r="F76" s="37" t="n"/>
    </row>
    <row r="77" ht="24.95" customHeight="1">
      <c r="A77" s="6" t="n"/>
      <c r="F77" s="37" t="n"/>
      <c r="G77" s="77" t="inlineStr">
        <is>
          <t>総合差額</t>
        </is>
      </c>
      <c r="J77" s="78">
        <f>J73-J75</f>
        <v/>
      </c>
    </row>
    <row r="78" ht="24.95" customHeight="1">
      <c r="A78" s="6" t="n"/>
      <c r="F78" s="37" t="n"/>
    </row>
    <row r="79" ht="24.95" customHeight="1">
      <c r="A79" s="6" t="n"/>
      <c r="F79" s="37" t="n"/>
    </row>
    <row r="80" ht="24.95" customHeight="1">
      <c r="A80" s="6" t="n"/>
      <c r="F80" s="37" t="n"/>
    </row>
    <row r="81" ht="24.95" customHeight="1">
      <c r="A81" s="6" t="n"/>
      <c r="F81" s="37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6">
    <mergeCell ref="J77:J78"/>
    <mergeCell ref="H6:H7"/>
    <mergeCell ref="G75:I76"/>
    <mergeCell ref="G47:J47"/>
    <mergeCell ref="G54:J54"/>
    <mergeCell ref="G63:J63"/>
    <mergeCell ref="B63:E63"/>
    <mergeCell ref="G77:I78"/>
    <mergeCell ref="B54:E54"/>
    <mergeCell ref="E8:G9"/>
    <mergeCell ref="B47:E47"/>
    <mergeCell ref="E4:G5"/>
    <mergeCell ref="J75:J76"/>
    <mergeCell ref="G39:J39"/>
    <mergeCell ref="B39:E39"/>
    <mergeCell ref="B2:H2"/>
    <mergeCell ref="G38:J38"/>
    <mergeCell ref="B9:C9"/>
    <mergeCell ref="G28:J28"/>
    <mergeCell ref="E6:G7"/>
    <mergeCell ref="G73:I74"/>
    <mergeCell ref="H8:H9"/>
    <mergeCell ref="H4:H5"/>
    <mergeCell ref="J73:J74"/>
    <mergeCell ref="B28:E28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0" t="inlineStr">
        <is>
          <t xml:space="preserve">シート構成: Template / Target / Description
（Description に実マーカーは書かない）
Excel テーブルの要点:
1) 12 の名前付きテーブル、各 JSON 配列に対応。
2) 明細は G=normal（テーブル内は G=merge 非対応）。
3) 差額/合計は数式テンプレート（二重イコール）。
4) テーブルスタイルは拡張に追従。
ファイル: lesson_m09_monthly_budget.xlsx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2026-08-10T07:15:16Z</dcterms:created>
  <dcterms:modified xmlns:dcterms="http://purl.org/dc/terms/" xmlns:xsi="http://www.w3.org/2001/XMLSchema-instance" xsi:type="dcterms:W3CDTF">2026-08-10T08:21:15Z</dcterms:modified>
</cp:coreProperties>
</file>