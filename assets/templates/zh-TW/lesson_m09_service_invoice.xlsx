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Target" sheetId="2" state="visible" r:id="rId2"/>
    <sheet xmlns:r="http://schemas.openxmlformats.org/officeDocument/2006/relationships" name="Description" sheetId="3" state="visible" r:id="rId3"/>
  </sheets>
  <definedNames>
    <definedName name="TemplateOptions.DebugMode">FALSE</definedName>
    <definedName name="_xlnm.Print_Area" localSheetId="0">'Template'!$A$1:$H$38</definedName>
    <definedName name="_xlnm.Print_Area" localSheetId="1">'Target'!$A$1:$H$38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_ &quot;¥&quot;* #,##0.00_ ;_ &quot;¥&quot;* \-#,##0.00_ ;_ &quot;¥&quot;* &quot;-&quot;??_ ;_ @_ "/>
    <numFmt numFmtId="166" formatCode="_ * #,##0.00_ ;_ * \-#,##0.00_ ;_ * &quot;-&quot;??_ ;_ @_ "/>
  </numFmts>
  <fonts count="35">
    <font>
      <name val="Microsoft YaHei UI"/>
      <family val="2"/>
      <sz val="11"/>
    </font>
    <font>
      <name val="宋体"/>
      <family val="2"/>
      <sz val="11"/>
      <scheme val="minor"/>
    </font>
    <font>
      <name val="Microsoft YaHei UI"/>
      <family val="2"/>
      <color indexed="8"/>
      <sz val="11"/>
    </font>
    <font>
      <name val="Microsoft YaHei UI"/>
      <family val="2"/>
      <color indexed="9"/>
      <sz val="11"/>
    </font>
    <font>
      <name val="Microsoft YaHei UI"/>
      <family val="2"/>
      <color indexed="36"/>
      <sz val="11"/>
    </font>
    <font>
      <name val="Microsoft YaHei UI"/>
      <family val="2"/>
      <b val="1"/>
      <color indexed="50"/>
      <sz val="11"/>
    </font>
    <font>
      <name val="Microsoft YaHei UI"/>
      <family val="2"/>
      <b val="1"/>
      <color indexed="9"/>
      <sz val="11"/>
    </font>
    <font>
      <name val="Microsoft YaHei UI"/>
      <family val="2"/>
      <sz val="11"/>
    </font>
    <font>
      <name val="Microsoft YaHei UI"/>
      <family val="2"/>
      <i val="1"/>
      <color indexed="23"/>
      <sz val="11"/>
    </font>
    <font>
      <name val="Microsoft YaHei UI"/>
      <family val="2"/>
      <color theme="11"/>
      <sz val="10"/>
      <u val="single"/>
    </font>
    <font>
      <name val="Microsoft YaHei UI"/>
      <family val="2"/>
      <color indexed="17"/>
      <sz val="11"/>
    </font>
    <font>
      <name val="Microsoft YaHei UI"/>
      <family val="2"/>
      <b val="1"/>
      <color indexed="18"/>
      <sz val="15"/>
    </font>
    <font>
      <name val="Microsoft YaHei UI"/>
      <family val="2"/>
      <b val="1"/>
      <color indexed="18"/>
      <sz val="13"/>
    </font>
    <font>
      <name val="Microsoft YaHei UI"/>
      <family val="2"/>
      <b val="1"/>
      <color indexed="18"/>
      <sz val="11"/>
    </font>
    <font>
      <name val="Microsoft YaHei UI"/>
      <family val="2"/>
      <color indexed="12"/>
      <sz val="10"/>
      <u val="single"/>
    </font>
    <font>
      <name val="Microsoft YaHei UI"/>
      <family val="2"/>
      <color indexed="53"/>
      <sz val="11"/>
    </font>
    <font>
      <name val="Microsoft YaHei UI"/>
      <family val="2"/>
      <color indexed="50"/>
      <sz val="11"/>
    </font>
    <font>
      <name val="Microsoft YaHei UI"/>
      <family val="2"/>
      <color indexed="59"/>
      <sz val="11"/>
    </font>
    <font>
      <name val="Microsoft YaHei UI"/>
      <family val="2"/>
      <sz val="10"/>
    </font>
    <font>
      <name val="Microsoft YaHei UI"/>
      <family val="2"/>
      <b val="1"/>
      <color indexed="63"/>
      <sz val="11"/>
    </font>
    <font>
      <name val="Microsoft YaHei UI"/>
      <family val="2"/>
      <b val="1"/>
      <color indexed="18"/>
      <sz val="18"/>
    </font>
    <font>
      <name val="Microsoft YaHei UI"/>
      <family val="2"/>
      <b val="1"/>
      <color indexed="8"/>
      <sz val="11"/>
    </font>
    <font>
      <name val="Microsoft YaHei UI"/>
      <family val="2"/>
      <color indexed="10"/>
      <sz val="11"/>
    </font>
    <font>
      <name val="Microsoft YaHei UI"/>
      <family val="2"/>
      <b val="1"/>
      <color theme="4" tint="-0.499984740745262"/>
      <sz val="20"/>
    </font>
    <font>
      <name val="Microsoft YaHei UI"/>
      <family val="2"/>
      <sz val="16"/>
    </font>
    <font>
      <name val="Microsoft YaHei UI"/>
      <family val="2"/>
      <b val="1"/>
      <color theme="4" tint="-0.249977111117893"/>
      <sz val="36"/>
    </font>
    <font>
      <name val="Microsoft YaHei UI"/>
      <family val="2"/>
      <b val="1"/>
      <sz val="11"/>
    </font>
    <font>
      <name val="Microsoft YaHei UI"/>
      <family val="2"/>
      <b val="1"/>
      <color theme="0"/>
      <sz val="11"/>
    </font>
    <font>
      <name val="Microsoft YaHei UI"/>
      <family val="2"/>
      <b val="1"/>
      <i val="1"/>
      <color theme="4" tint="-0.249977111117893"/>
      <sz val="12"/>
    </font>
    <font>
      <name val="Microsoft YaHei UI"/>
      <family val="2"/>
      <sz val="12"/>
    </font>
    <font>
      <name val="Microsoft YaHei UI"/>
      <family val="2"/>
      <b val="1"/>
      <color theme="4" tint="-0.499984740745262"/>
      <sz val="14"/>
    </font>
    <font>
      <name val="Microsoft YaHei UI"/>
      <family val="2"/>
      <b val="1"/>
      <sz val="14"/>
    </font>
    <font>
      <name val="Microsoft YaHei UI"/>
      <family val="2"/>
      <b val="1"/>
      <sz val="12"/>
    </font>
    <font>
      <name val="Microsoft YaHei UI"/>
      <family val="2"/>
      <b val="1"/>
      <sz val="10"/>
    </font>
    <font>
      <name val="宋体"/>
      <charset val="134"/>
      <family val="3"/>
      <sz val="9"/>
    </font>
  </fonts>
  <fills count="25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theme="4" tint="-0.249946592608417"/>
      </bottom>
      <diagonal/>
    </border>
    <border>
      <left style="hair">
        <color auto="1"/>
      </left>
      <right/>
      <top style="hair">
        <color auto="1"/>
      </top>
      <bottom style="thin">
        <color theme="4" tint="-0.249946592608417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theme="4" tint="-0.249946592608417"/>
      </bottom>
      <diagonal/>
    </border>
  </borders>
  <cellStyleXfs count="50">
    <xf numFmtId="0" fontId="7" fillId="0" borderId="0"/>
    <xf numFmtId="0" fontId="2" fillId="2" borderId="0"/>
    <xf numFmtId="0" fontId="2" fillId="3" borderId="0"/>
    <xf numFmtId="0" fontId="2" fillId="3" borderId="0"/>
    <xf numFmtId="0" fontId="2" fillId="2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7" borderId="0"/>
    <xf numFmtId="0" fontId="2" fillId="6" borderId="0"/>
    <xf numFmtId="0" fontId="2" fillId="4" borderId="0"/>
    <xf numFmtId="0" fontId="2" fillId="5" borderId="0"/>
    <xf numFmtId="0" fontId="3" fillId="8" borderId="0"/>
    <xf numFmtId="0" fontId="3" fillId="9" borderId="0"/>
    <xf numFmtId="0" fontId="3" fillId="9" borderId="0"/>
    <xf numFmtId="0" fontId="3" fillId="8" borderId="0"/>
    <xf numFmtId="0" fontId="3" fillId="10" borderId="0"/>
    <xf numFmtId="0" fontId="3" fillId="11" borderId="0"/>
    <xf numFmtId="0" fontId="3" fillId="10" borderId="0"/>
    <xf numFmtId="0" fontId="3" fillId="12" borderId="0"/>
    <xf numFmtId="0" fontId="3" fillId="9" borderId="0"/>
    <xf numFmtId="0" fontId="3" fillId="13" borderId="0"/>
    <xf numFmtId="0" fontId="3" fillId="14" borderId="0"/>
    <xf numFmtId="0" fontId="3" fillId="15" borderId="0"/>
    <xf numFmtId="0" fontId="4" fillId="16" borderId="0"/>
    <xf numFmtId="0" fontId="5" fillId="17" borderId="1"/>
    <xf numFmtId="0" fontId="6" fillId="18" borderId="2"/>
    <xf numFmtId="0" fontId="8" fillId="0" borderId="0"/>
    <xf numFmtId="0" fontId="10" fillId="19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0" borderId="0" applyAlignment="1" applyProtection="1">
      <alignment vertical="top"/>
      <protection locked="0" hidden="0"/>
    </xf>
    <xf numFmtId="0" fontId="15" fillId="11" borderId="1"/>
    <xf numFmtId="0" fontId="16" fillId="0" borderId="6"/>
    <xf numFmtId="0" fontId="17" fillId="5" borderId="0"/>
    <xf numFmtId="0" fontId="18" fillId="5" borderId="7"/>
    <xf numFmtId="0" fontId="19" fillId="17" borderId="8"/>
    <xf numFmtId="0" fontId="20" fillId="0" borderId="0"/>
    <xf numFmtId="0" fontId="21" fillId="0" borderId="9"/>
    <xf numFmtId="0" fontId="22" fillId="0" borderId="0"/>
    <xf numFmtId="0" fontId="9" fillId="0" borderId="0"/>
    <xf numFmtId="0" fontId="18" fillId="0" borderId="0"/>
    <xf numFmtId="43" fontId="7" fillId="0" borderId="0"/>
    <xf numFmtId="41" fontId="7" fillId="0" borderId="0"/>
    <xf numFmtId="44" fontId="7" fillId="0" borderId="0"/>
    <xf numFmtId="42" fontId="7" fillId="0" borderId="0"/>
    <xf numFmtId="9" fontId="7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applyAlignment="1" applyProtection="1" pivotButton="0" quotePrefix="0" xfId="0">
      <alignment vertic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18" fillId="0" borderId="0" applyAlignment="1" applyProtection="1" pivotButton="0" quotePrefix="0" xfId="0">
      <alignment vertical="top"/>
      <protection locked="0" hidden="0"/>
    </xf>
    <xf numFmtId="0" fontId="18" fillId="0" borderId="0" applyAlignment="1" pivotButton="0" quotePrefix="0" xfId="0">
      <alignment vertical="center"/>
    </xf>
    <xf numFmtId="0" fontId="18" fillId="0" borderId="0" applyAlignment="1" applyProtection="1" pivotButton="0" quotePrefix="0" xfId="0">
      <alignment vertical="center"/>
      <protection locked="0" hidden="0"/>
    </xf>
    <xf numFmtId="0" fontId="27" fillId="22" borderId="0" applyAlignment="1" pivotButton="0" quotePrefix="0" xfId="0">
      <alignment horizontal="center" vertical="center"/>
    </xf>
    <xf numFmtId="14" fontId="2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7" fillId="22" borderId="0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vertical="center"/>
    </xf>
    <xf numFmtId="0" fontId="18" fillId="23" borderId="19" applyAlignment="1" applyProtection="1" pivotButton="0" quotePrefix="0" xfId="0">
      <alignment vertical="center"/>
      <protection locked="0" hidden="0"/>
    </xf>
    <xf numFmtId="0" fontId="18" fillId="23" borderId="10" applyAlignment="1" applyProtection="1" pivotButton="0" quotePrefix="0" xfId="0">
      <alignment vertical="center"/>
      <protection locked="0" hidden="0"/>
    </xf>
    <xf numFmtId="0" fontId="18" fillId="23" borderId="11" applyAlignment="1" applyProtection="1" pivotButton="0" quotePrefix="0" xfId="0">
      <alignment horizontal="center" vertical="center"/>
      <protection locked="0" hidden="0"/>
    </xf>
    <xf numFmtId="0" fontId="18" fillId="0" borderId="20" applyAlignment="1" applyProtection="1" pivotButton="0" quotePrefix="0" xfId="0">
      <alignment vertical="center"/>
      <protection locked="0" hidden="0"/>
    </xf>
    <xf numFmtId="0" fontId="18" fillId="0" borderId="13" applyAlignment="1" applyProtection="1" pivotButton="0" quotePrefix="0" xfId="0">
      <alignment vertical="center"/>
      <protection locked="0" hidden="0"/>
    </xf>
    <xf numFmtId="0" fontId="18" fillId="0" borderId="14" applyAlignment="1" applyProtection="1" pivotButton="0" quotePrefix="0" xfId="0">
      <alignment horizontal="center" vertical="center"/>
      <protection locked="0" hidden="0"/>
    </xf>
    <xf numFmtId="10" fontId="18" fillId="0" borderId="14" applyAlignment="1" applyProtection="1" pivotButton="0" quotePrefix="0" xfId="0">
      <alignment horizontal="center" vertical="center"/>
      <protection locked="0" hidden="0"/>
    </xf>
    <xf numFmtId="0" fontId="18" fillId="0" borderId="21" applyAlignment="1" applyProtection="1" pivotButton="0" quotePrefix="0" xfId="0">
      <alignment vertical="center"/>
      <protection locked="0" hidden="0"/>
    </xf>
    <xf numFmtId="0" fontId="18" fillId="0" borderId="16" applyAlignment="1" applyProtection="1" pivotButton="0" quotePrefix="0" xfId="0">
      <alignment vertical="center"/>
      <protection locked="0" hidden="0"/>
    </xf>
    <xf numFmtId="0" fontId="18" fillId="0" borderId="17" applyAlignment="1" applyProtection="1" pivotButton="0" quotePrefix="0" xfId="0">
      <alignment horizontal="center" vertical="center"/>
      <protection locked="0" hidden="0"/>
    </xf>
    <xf numFmtId="0" fontId="29" fillId="21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left" vertical="center" indent="1"/>
    </xf>
    <xf numFmtId="0" fontId="29" fillId="0" borderId="0" pivotButton="0" quotePrefix="0" xfId="0"/>
    <xf numFmtId="164" fontId="29" fillId="20" borderId="0" applyAlignment="1" pivotButton="0" quotePrefix="0" xfId="0">
      <alignment vertical="center"/>
    </xf>
    <xf numFmtId="0" fontId="30" fillId="21" borderId="0" applyAlignment="1" pivotButton="0" quotePrefix="0" xfId="0">
      <alignment horizontal="left" vertical="center" indent="1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5" applyAlignment="1" pivotButton="0" quotePrefix="0" xfId="0">
      <alignment vertical="center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5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/>
    </xf>
    <xf numFmtId="0" fontId="27" fillId="22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horizontal="center" vertical="center"/>
      <protection locked="0" hidden="0"/>
    </xf>
    <xf numFmtId="0" fontId="26" fillId="0" borderId="0" applyAlignment="1" pivotButton="0" quotePrefix="0" xfId="0">
      <alignment horizontal="center" vertical="center"/>
    </xf>
    <xf numFmtId="0" fontId="27" fillId="22" borderId="0" applyAlignment="1" pivotButton="0" quotePrefix="0" xfId="0">
      <alignment horizontal="left" vertical="center" indent="1"/>
    </xf>
    <xf numFmtId="0" fontId="28" fillId="24" borderId="0" applyAlignment="1" pivotButton="0" quotePrefix="0" xfId="0">
      <alignment horizontal="center" vertical="center"/>
    </xf>
    <xf numFmtId="0" fontId="29" fillId="21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66" fontId="18" fillId="23" borderId="11" applyAlignment="1" applyProtection="1" pivotButton="0" quotePrefix="0" xfId="0">
      <alignment vertical="center"/>
      <protection locked="0" hidden="0"/>
    </xf>
    <xf numFmtId="166" fontId="18" fillId="23" borderId="12" applyAlignment="1" pivotButton="0" quotePrefix="0" xfId="0">
      <alignment vertical="center"/>
    </xf>
    <xf numFmtId="166" fontId="18" fillId="0" borderId="14" applyAlignment="1" applyProtection="1" pivotButton="0" quotePrefix="0" xfId="0">
      <alignment vertical="center"/>
      <protection locked="0" hidden="0"/>
    </xf>
    <xf numFmtId="166" fontId="18" fillId="0" borderId="15" applyAlignment="1" pivotButton="0" quotePrefix="0" xfId="0">
      <alignment vertical="center"/>
    </xf>
    <xf numFmtId="166" fontId="18" fillId="0" borderId="17" applyAlignment="1" applyProtection="1" pivotButton="0" quotePrefix="0" xfId="0">
      <alignment vertical="center"/>
      <protection locked="0" hidden="0"/>
    </xf>
    <xf numFmtId="166" fontId="18" fillId="0" borderId="18" applyAlignment="1" pivotButton="0" quotePrefix="0" xfId="0">
      <alignment vertical="center"/>
    </xf>
    <xf numFmtId="166" fontId="29" fillId="20" borderId="0" applyAlignment="1" pivotButton="0" quotePrefix="0" xfId="0">
      <alignment vertical="center"/>
    </xf>
    <xf numFmtId="164" fontId="29" fillId="20" borderId="0" applyAlignment="1" pivotButton="0" quotePrefix="0" xfId="0">
      <alignment vertical="center"/>
    </xf>
    <xf numFmtId="165" fontId="31" fillId="20" borderId="0" applyAlignment="1" pivotButton="0" quotePrefix="0" xfId="0">
      <alignment vertical="center"/>
    </xf>
    <xf numFmtId="165" fontId="32" fillId="0" borderId="0" applyAlignment="1" pivotButton="0" quotePrefix="0" xfId="0">
      <alignment horizontal="right" vertical="center"/>
    </xf>
  </cellXfs>
  <cellStyles count="50">
    <cellStyle name="常规" xfId="0" builtinId="0"/>
    <cellStyle name="20% - 着色 1" xfId="1" builtinId="30"/>
    <cellStyle name="20% - 着色 2" xfId="2" builtinId="34"/>
    <cellStyle name="20% - 着色 3" xfId="3" builtinId="38"/>
    <cellStyle name="20% - 着色 4" xfId="4" builtinId="42"/>
    <cellStyle name="20% - 着色 5" xfId="5" builtinId="46"/>
    <cellStyle name="20% - 着色 6" xfId="6" builtinId="50"/>
    <cellStyle name="40% - 着色 1" xfId="7" builtinId="31"/>
    <cellStyle name="40% - 着色 2" xfId="8" builtinId="35"/>
    <cellStyle name="40% - 着色 3" xfId="9" builtinId="39"/>
    <cellStyle name="40% - 着色 4" xfId="10" builtinId="43"/>
    <cellStyle name="40% - 着色 5" xfId="11" builtinId="47"/>
    <cellStyle name="40% - 着色 6" xfId="12" builtinId="51"/>
    <cellStyle name="60% - 着色 1" xfId="13" builtinId="32"/>
    <cellStyle name="60% - 着色 2" xfId="14" builtinId="36"/>
    <cellStyle name="60% - 着色 3" xfId="15" builtinId="40"/>
    <cellStyle name="60% - 着色 4" xfId="16" builtinId="44"/>
    <cellStyle name="60% - 着色 5" xfId="17" builtinId="48"/>
    <cellStyle name="60% - 着色 6" xfId="18" builtinId="52"/>
    <cellStyle name="着色 1" xfId="19" builtinId="29"/>
    <cellStyle name="着色 2" xfId="20" builtinId="33"/>
    <cellStyle name="着色 3" xfId="21" builtinId="37"/>
    <cellStyle name="着色 4" xfId="22" builtinId="41"/>
    <cellStyle name="着色 5" xfId="23" builtinId="45"/>
    <cellStyle name="着色 6" xfId="24" builtinId="49"/>
    <cellStyle name="差" xfId="25" builtinId="27"/>
    <cellStyle name="计算" xfId="26" builtinId="22"/>
    <cellStyle name="检查单元格" xfId="27" builtinId="23"/>
    <cellStyle name="解释性文本" xfId="28" builtinId="53"/>
    <cellStyle name="好" xfId="29" builtinId="26"/>
    <cellStyle name="标题 1" xfId="30" builtinId="16"/>
    <cellStyle name="标题 2" xfId="31" builtinId="17"/>
    <cellStyle name="标题 3" xfId="32" builtinId="18"/>
    <cellStyle name="标题 4" xfId="33" builtinId="19"/>
    <cellStyle name="超链接" xfId="34" builtinId="8"/>
    <cellStyle name="输入" xfId="35" builtinId="20"/>
    <cellStyle name="链接单元格" xfId="36" builtinId="24"/>
    <cellStyle name="适中" xfId="37" builtinId="28"/>
    <cellStyle name="注释" xfId="38" builtinId="10"/>
    <cellStyle name="输出" xfId="39" builtinId="21"/>
    <cellStyle name="标题" xfId="40" builtinId="15"/>
    <cellStyle name="汇总" xfId="41" builtinId="25"/>
    <cellStyle name="警告文本" xfId="42" builtinId="11"/>
    <cellStyle name="已访问的超链接" xfId="43" builtinId="9"/>
    <cellStyle name="常规 2" xfId="44"/>
    <cellStyle name="千位分隔" xfId="45" builtinId="3"/>
    <cellStyle name="千位分隔[0]" xfId="46" builtinId="6"/>
    <cellStyle name="货币" xfId="47" builtinId="4"/>
    <cellStyle name="货币[0]" xfId="48" builtinId="7"/>
    <cellStyle name="百分比" xfId="49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1565C0"/>
    <outlinePr summaryBelow="1" summaryRight="1"/>
    <pageSetUpPr/>
  </sheetPr>
  <dimension ref="A1:I38"/>
  <sheetViews>
    <sheetView showGridLines="0" topLeftCell="A4" zoomScaleNormal="100" workbookViewId="0">
      <selection activeCell="A16" sqref="A16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{{ds.issuer_companyname}}</t>
        </is>
      </c>
      <c r="B1" s="4" t="n"/>
      <c r="C1" s="4" t="n"/>
      <c r="D1" s="4" t="n"/>
      <c r="E1" s="4" t="n"/>
      <c r="G1" s="41" t="inlineStr">
        <is>
          <t>發票</t>
        </is>
      </c>
    </row>
    <row r="2" ht="19.5" customHeight="1">
      <c r="A2" s="5" t="inlineStr">
        <is>
          <t>{{ds.issuer_address2}}</t>
        </is>
      </c>
      <c r="B2" s="6" t="n"/>
      <c r="C2" s="6" t="n"/>
      <c r="D2" s="7" t="n"/>
      <c r="E2" s="8" t="n"/>
    </row>
    <row r="3" ht="19.5" customHeight="1">
      <c r="A3" s="5" t="inlineStr">
        <is>
          <t>{{ds.issuer_address1}}</t>
        </is>
      </c>
      <c r="B3" s="7" t="n"/>
      <c r="C3" s="7" t="n"/>
      <c r="D3" s="7" t="n"/>
      <c r="E3" s="8" t="n"/>
    </row>
    <row r="4" ht="19.5" customHeight="1">
      <c r="A4" s="5" t="inlineStr">
        <is>
          <t>电话：{{ds.issuer_telephone}}</t>
        </is>
      </c>
      <c r="B4" s="8" t="n"/>
      <c r="C4" s="8" t="n"/>
      <c r="D4" s="7" t="n"/>
      <c r="E4" s="8" t="n"/>
      <c r="F4" s="43" t="inlineStr">
        <is>
          <t>發票編號</t>
        </is>
      </c>
      <c r="H4" s="43" t="inlineStr">
        <is>
          <t>日期</t>
        </is>
      </c>
    </row>
    <row r="5" ht="19.5" customHeight="1">
      <c r="A5" s="7" t="n"/>
      <c r="B5" s="7" t="n"/>
      <c r="C5" s="7" t="n"/>
      <c r="D5" s="7" t="n"/>
      <c r="E5" s="8" t="n"/>
      <c r="F5" s="44" t="inlineStr">
        <is>
          <t>{{ds.invoice_number}}</t>
        </is>
      </c>
      <c r="G5" s="50" t="n"/>
      <c r="H5" s="10" t="inlineStr">
        <is>
          <t>{{ds.invoice_date}}</t>
        </is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受票方</t>
        </is>
      </c>
      <c r="D7" s="8" t="n"/>
      <c r="E7" s="11" t="n"/>
      <c r="F7" s="43" t="inlineStr">
        <is>
          <t>客戶 ID</t>
        </is>
      </c>
      <c r="H7" s="43" t="inlineStr">
        <is>
          <t>條款</t>
        </is>
      </c>
    </row>
    <row r="8" ht="15.75" customHeight="1">
      <c r="A8" s="8" t="inlineStr">
        <is>
          <t>{{ds.payee_name}}</t>
        </is>
      </c>
      <c r="B8" s="8" t="n"/>
      <c r="C8" s="8" t="n"/>
      <c r="D8" s="8" t="n"/>
      <c r="E8" s="11" t="n"/>
      <c r="F8" s="45" t="inlineStr">
        <is>
          <t>{{ds.invoice_customerid}}</t>
        </is>
      </c>
      <c r="H8" s="45" t="inlineStr">
        <is>
          <t>{{ds.invoice_clause}}</t>
        </is>
      </c>
    </row>
    <row r="9" ht="15.75" customHeight="1">
      <c r="A9" s="8" t="inlineStr">
        <is>
          <t>{{ds.payee_companyname}}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{{ds.payee_address2}}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{{ds.payee_address1}}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{{ds.payee_telephone}}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{{ds.payee_email}}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說明</t>
        </is>
      </c>
      <c r="B15" s="46" t="n"/>
      <c r="C15" s="46" t="n"/>
      <c r="D15" s="14" t="n"/>
      <c r="E15" s="14" t="n"/>
      <c r="F15" s="43" t="inlineStr">
        <is>
          <t>數量</t>
        </is>
      </c>
      <c r="G15" s="43" t="inlineStr">
        <is>
          <t>單價</t>
        </is>
      </c>
      <c r="H15" s="43" t="inlineStr">
        <is>
          <t>金額</t>
        </is>
      </c>
    </row>
    <row r="16" ht="20.25" customHeight="1">
      <c r="A16" s="15" t="inlineStr">
        <is>
          <t>{{ds.invoiceitem.description(FM=overwrite)}}</t>
        </is>
      </c>
      <c r="B16" s="15" t="n"/>
      <c r="C16" s="15" t="n"/>
      <c r="D16" s="15" t="n"/>
      <c r="E16" s="16" t="n"/>
      <c r="F16" s="17" t="inlineStr">
        <is>
          <t>{{ds.invoiceitem.qty}}</t>
        </is>
      </c>
      <c r="G16" s="51" t="inlineStr">
        <is>
          <t>{{ds.invoiceitem.unitprice}}</t>
        </is>
      </c>
      <c r="H16" s="52" t="inlineStr">
        <is>
          <t>{{==IF(F16="",ROUND(1*G16,2),ROUND(F16*G16,2))}}</t>
        </is>
      </c>
    </row>
    <row r="17" ht="20.25" customHeight="1">
      <c r="A17" s="18" t="n"/>
      <c r="B17" s="18" t="n"/>
      <c r="C17" s="18" t="n"/>
      <c r="D17" s="18" t="n"/>
      <c r="E17" s="19" t="n"/>
      <c r="F17" s="20" t="n"/>
      <c r="G17" s="53" t="n"/>
      <c r="H17" s="54" t="n"/>
    </row>
    <row r="18" ht="20.25" customHeight="1">
      <c r="A18" s="18" t="n"/>
      <c r="B18" s="18" t="n"/>
      <c r="C18" s="18" t="n"/>
      <c r="D18" s="18" t="n"/>
      <c r="E18" s="19" t="n"/>
      <c r="F18" s="20" t="n"/>
      <c r="G18" s="53" t="n"/>
      <c r="H18" s="54" t="n"/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合作愉快！</t>
        </is>
      </c>
      <c r="F31" s="48" t="inlineStr">
        <is>
          <t>小計</t>
        </is>
      </c>
      <c r="H31" s="57" t="inlineStr">
        <is>
          <t>{{==SUM(H16:H30)}}</t>
        </is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稅率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稅費</t>
        </is>
      </c>
      <c r="G33" s="48" t="n"/>
      <c r="H33" s="57" t="inlineStr">
        <is>
          <t>{{==H31*H32}}</t>
        </is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總計</t>
        </is>
      </c>
      <c r="G34" s="30" t="n"/>
      <c r="H34" s="59" t="inlineStr">
        <is>
          <t>{{==H31+H33}}</t>
        </is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如對此發票有疑問，請聯</t>
        </is>
      </c>
    </row>
    <row r="38" ht="13.5" customHeight="1">
      <c r="A38" s="42" t="inlineStr">
        <is>
          <t>{{ds.contact}}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disablePrompts="1"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I38"/>
  <sheetViews>
    <sheetView showGridLines="0" tabSelected="1" topLeftCell="A2" zoomScaleNormal="100" workbookViewId="0">
      <selection activeCell="E10" sqref="E10"/>
    </sheetView>
  </sheetViews>
  <sheetFormatPr baseColWidth="8" defaultColWidth="9.109375" defaultRowHeight="13.5"/>
  <cols>
    <col width="6.77734375" customWidth="1" style="1" min="1" max="1"/>
    <col width="12.77734375" customWidth="1" style="1" min="2" max="2"/>
    <col width="17.77734375" customWidth="1" style="1" min="3" max="3"/>
    <col width="6.77734375" customWidth="1" style="1" min="4" max="6"/>
    <col width="12.77734375" customWidth="1" style="1" min="7" max="7"/>
    <col width="17.77734375" customWidth="1" style="1" min="8" max="8"/>
    <col width="11.77734375" customWidth="1" style="1" min="9" max="9"/>
    <col width="9.109375" customWidth="1" style="1" min="10" max="16384"/>
  </cols>
  <sheetData>
    <row r="1" ht="46.5" customHeight="1">
      <c r="A1" s="3" t="inlineStr">
        <is>
          <t>星辰諮詢有限公司</t>
        </is>
      </c>
      <c r="B1" s="4" t="n"/>
      <c r="C1" s="4" t="n"/>
      <c r="D1" s="4" t="n"/>
      <c r="E1" s="4" t="n"/>
      <c r="G1" s="41" t="inlineStr">
        <is>
          <t>發票</t>
        </is>
      </c>
    </row>
    <row r="2" ht="19.5" customHeight="1">
      <c r="A2" s="5" t="inlineStr">
        <is>
          <t>創新大道 88 號</t>
        </is>
      </c>
      <c r="B2" s="6" t="n"/>
      <c r="C2" s="6" t="n"/>
      <c r="D2" s="7" t="n"/>
      <c r="E2" s="8" t="n"/>
    </row>
    <row r="3" ht="19.5" customHeight="1">
      <c r="A3" s="5" t="inlineStr">
        <is>
          <t>廣東省深圳市南山區 518057</t>
        </is>
      </c>
      <c r="B3" s="7" t="n"/>
      <c r="C3" s="7" t="n"/>
      <c r="D3" s="7" t="n"/>
      <c r="E3" s="8" t="n"/>
    </row>
    <row r="4" ht="19.5" customHeight="1">
      <c r="A4" s="5" t="inlineStr">
        <is>
          <t>電話：(123) 456-7890</t>
        </is>
      </c>
      <c r="B4" s="8" t="n"/>
      <c r="C4" s="8" t="n"/>
      <c r="D4" s="7" t="n"/>
      <c r="E4" s="8" t="n"/>
      <c r="F4" s="43" t="inlineStr">
        <is>
          <t>發票編號</t>
        </is>
      </c>
      <c r="H4" s="43" t="inlineStr">
        <is>
          <t>日期</t>
        </is>
      </c>
    </row>
    <row r="5" ht="19.5" customHeight="1">
      <c r="A5" s="7" t="n"/>
      <c r="B5" s="7" t="n"/>
      <c r="C5" s="7" t="n"/>
      <c r="D5" s="7" t="n"/>
      <c r="E5" s="8" t="n"/>
      <c r="F5" s="44" t="n">
        <v>2034</v>
      </c>
      <c r="G5" s="50" t="n"/>
      <c r="H5" s="10" t="n">
        <v>43152</v>
      </c>
    </row>
    <row r="6" ht="16.5" customHeight="1">
      <c r="A6" s="8" t="n"/>
      <c r="B6" s="8" t="n"/>
      <c r="C6" s="8" t="n"/>
      <c r="D6" s="8" t="n"/>
      <c r="E6" s="7" t="n"/>
      <c r="F6" s="7" t="n"/>
      <c r="G6" s="7" t="n"/>
      <c r="H6" s="7" t="n"/>
    </row>
    <row r="7" ht="20.1" customHeight="1">
      <c r="A7" s="46" t="inlineStr">
        <is>
          <t>受票方</t>
        </is>
      </c>
      <c r="D7" s="8" t="n"/>
      <c r="E7" s="11" t="n"/>
      <c r="F7" s="43" t="inlineStr">
        <is>
          <t>客戶 ID</t>
        </is>
      </c>
      <c r="H7" s="43" t="inlineStr">
        <is>
          <t>條款</t>
        </is>
      </c>
    </row>
    <row r="8" ht="15.75" customHeight="1">
      <c r="A8" s="8" t="inlineStr">
        <is>
          <t>陳曉</t>
        </is>
      </c>
      <c r="B8" s="8" t="n"/>
      <c r="C8" s="8" t="n"/>
      <c r="D8" s="8" t="n"/>
      <c r="E8" s="11" t="n"/>
      <c r="F8" s="45" t="n">
        <v>564</v>
      </c>
      <c r="H8" s="45" t="inlineStr">
        <is>
          <t>收到後付款</t>
        </is>
      </c>
    </row>
    <row r="9" ht="15.75" customHeight="1">
      <c r="A9" s="8" t="inlineStr">
        <is>
          <t>廣域貿易有限公司</t>
        </is>
      </c>
      <c r="B9" s="8" t="n"/>
      <c r="C9" s="8" t="n"/>
      <c r="D9" s="8" t="n"/>
      <c r="E9" s="11" t="n"/>
      <c r="F9" s="7" t="n"/>
      <c r="G9" s="7" t="n"/>
      <c r="H9" s="7" t="n"/>
    </row>
    <row r="10" ht="15.75" customHeight="1">
      <c r="A10" s="8" t="inlineStr">
        <is>
          <t>中山路 100 號</t>
        </is>
      </c>
      <c r="B10" s="8" t="n"/>
      <c r="C10" s="8" t="n"/>
      <c r="D10" s="8" t="n"/>
      <c r="E10" s="11" t="n"/>
      <c r="F10" s="7" t="n"/>
      <c r="G10" s="7" t="n"/>
      <c r="H10" s="7" t="n"/>
    </row>
    <row r="11" ht="15.75" customHeight="1">
      <c r="A11" s="8" t="inlineStr">
        <is>
          <t>廣東省廣州市天河區 510000</t>
        </is>
      </c>
      <c r="B11" s="8" t="n"/>
      <c r="C11" s="8" t="n"/>
      <c r="D11" s="8" t="n"/>
      <c r="E11" s="11" t="n"/>
      <c r="F11" s="7" t="n"/>
      <c r="G11" s="7" t="n"/>
      <c r="H11" s="7" t="n"/>
    </row>
    <row r="12" ht="15.75" customHeight="1">
      <c r="A12" s="8" t="inlineStr">
        <is>
          <t>(020) 8888-0000</t>
        </is>
      </c>
      <c r="B12" s="8" t="n"/>
      <c r="C12" s="8" t="n"/>
      <c r="D12" s="8" t="n"/>
      <c r="E12" s="11" t="n"/>
      <c r="F12" s="7" t="n"/>
      <c r="G12" s="7" t="n"/>
      <c r="H12" s="7" t="n"/>
    </row>
    <row r="13" ht="15.75" customHeight="1">
      <c r="A13" s="7" t="inlineStr">
        <is>
          <t>billing@wideworld.example</t>
        </is>
      </c>
      <c r="B13" s="7" t="n"/>
      <c r="C13" s="7" t="n"/>
      <c r="D13" s="7" t="n"/>
      <c r="E13" s="7" t="n"/>
      <c r="F13" s="7" t="n"/>
      <c r="G13" s="7" t="n"/>
      <c r="H13" s="7" t="n"/>
    </row>
    <row r="14" ht="16.5" customHeight="1">
      <c r="A14" s="8" t="n"/>
      <c r="B14" s="8" t="n"/>
      <c r="C14" s="8" t="n"/>
      <c r="D14" s="8" t="n"/>
      <c r="E14" s="7" t="n"/>
      <c r="F14" s="7" t="n"/>
      <c r="G14" s="7" t="n"/>
      <c r="H14" s="7" t="n"/>
    </row>
    <row r="15" ht="20.1" customHeight="1">
      <c r="A15" s="46" t="inlineStr">
        <is>
          <t>說明</t>
        </is>
      </c>
      <c r="B15" s="46" t="n"/>
      <c r="C15" s="46" t="n"/>
      <c r="D15" s="14" t="n"/>
      <c r="E15" s="14" t="n"/>
      <c r="F15" s="43" t="inlineStr">
        <is>
          <t>數量</t>
        </is>
      </c>
      <c r="G15" s="43" t="inlineStr">
        <is>
          <t>單價</t>
        </is>
      </c>
      <c r="H15" s="43" t="inlineStr">
        <is>
          <t>金額</t>
        </is>
      </c>
    </row>
    <row r="16" ht="20.25" customHeight="1">
      <c r="A16" s="15" t="inlineStr">
        <is>
          <t>服務費用</t>
        </is>
      </c>
      <c r="B16" s="15" t="n"/>
      <c r="C16" s="15" t="n"/>
      <c r="D16" s="15" t="n"/>
      <c r="E16" s="16" t="n"/>
      <c r="F16" s="17" t="n">
        <v>1</v>
      </c>
      <c r="G16" s="51" t="n">
        <v>200</v>
      </c>
      <c r="H16" s="52">
        <f>IF(F16="",ROUND(1*G16,2),ROUND(F16*G16,2))</f>
        <v/>
      </c>
    </row>
    <row r="17" ht="20.25" customHeight="1">
      <c r="A17" s="18" t="inlineStr">
        <is>
          <t>人工：75 美元/小時，5 小時</t>
        </is>
      </c>
      <c r="B17" s="18" t="n"/>
      <c r="C17" s="18" t="n"/>
      <c r="D17" s="18" t="n"/>
      <c r="E17" s="19" t="n"/>
      <c r="F17" s="20" t="n">
        <v>5</v>
      </c>
      <c r="G17" s="53" t="n">
        <v>75</v>
      </c>
      <c r="H17" s="54">
        <f>IF(F17="",ROUND(1*G17,2),ROUND(F17*G17,2))</f>
        <v/>
      </c>
    </row>
    <row r="18" ht="20.25" customHeight="1">
      <c r="A18" s="18" t="inlineStr">
        <is>
          <t>新客戶折扣</t>
        </is>
      </c>
      <c r="B18" s="18" t="n"/>
      <c r="C18" s="18" t="n"/>
      <c r="D18" s="18" t="n"/>
      <c r="E18" s="19" t="n"/>
      <c r="F18" s="20" t="n"/>
      <c r="G18" s="53" t="n">
        <v>-50</v>
      </c>
      <c r="H18" s="54">
        <f>IF(F18="",ROUND(1*G18,2),ROUND(F18*G18,2))</f>
        <v/>
      </c>
    </row>
    <row r="19" ht="20.25" customHeight="1">
      <c r="A19" s="18" t="n"/>
      <c r="B19" s="18" t="n"/>
      <c r="C19" s="18" t="n"/>
      <c r="D19" s="18" t="n"/>
      <c r="E19" s="19" t="n"/>
      <c r="F19" s="21" t="n"/>
      <c r="G19" s="53" t="n"/>
      <c r="H19" s="54">
        <f>IF(F19="",ROUND(1*G19,2),ROUND(F19*G19,2))</f>
        <v/>
      </c>
    </row>
    <row r="20" ht="20.25" customHeight="1">
      <c r="A20" s="18" t="n"/>
      <c r="B20" s="18" t="n"/>
      <c r="C20" s="18" t="n"/>
      <c r="D20" s="18" t="n"/>
      <c r="E20" s="19" t="n"/>
      <c r="F20" s="20" t="n"/>
      <c r="G20" s="53" t="n"/>
      <c r="H20" s="54">
        <f>IF(F20="",ROUND(1*G20,2),ROUND(F20*G20,2))</f>
        <v/>
      </c>
    </row>
    <row r="21" ht="20.25" customHeight="1">
      <c r="A21" s="18" t="n"/>
      <c r="B21" s="18" t="n"/>
      <c r="C21" s="18" t="n"/>
      <c r="D21" s="18" t="n"/>
      <c r="E21" s="19" t="n"/>
      <c r="F21" s="20" t="n"/>
      <c r="G21" s="53" t="n"/>
      <c r="H21" s="54">
        <f>IF(F21="",ROUND(1*G21,2),ROUND(F21*G21,2))</f>
        <v/>
      </c>
    </row>
    <row r="22" ht="20.25" customHeight="1">
      <c r="A22" s="18" t="n"/>
      <c r="B22" s="18" t="n"/>
      <c r="C22" s="18" t="n"/>
      <c r="D22" s="18" t="n"/>
      <c r="E22" s="19" t="n"/>
      <c r="F22" s="20" t="n"/>
      <c r="G22" s="53" t="n"/>
      <c r="H22" s="54">
        <f>IF(F22="",ROUND(1*G22,2),ROUND(F22*G22,2))</f>
        <v/>
      </c>
    </row>
    <row r="23" ht="20.25" customHeight="1">
      <c r="A23" s="18" t="n"/>
      <c r="B23" s="18" t="n"/>
      <c r="C23" s="18" t="n"/>
      <c r="D23" s="18" t="n"/>
      <c r="E23" s="19" t="n"/>
      <c r="F23" s="20" t="n"/>
      <c r="G23" s="53" t="n"/>
      <c r="H23" s="54">
        <f>IF(F23="",ROUND(1*G23,2),ROUND(F23*G23,2))</f>
        <v/>
      </c>
    </row>
    <row r="24" ht="20.25" customHeight="1">
      <c r="A24" s="18" t="n"/>
      <c r="B24" s="18" t="n"/>
      <c r="C24" s="18" t="n"/>
      <c r="D24" s="18" t="n"/>
      <c r="E24" s="19" t="n"/>
      <c r="F24" s="20" t="n"/>
      <c r="G24" s="53" t="n"/>
      <c r="H24" s="54">
        <f>IF(F24="",ROUND(1*G24,2),ROUND(F24*G24,2))</f>
        <v/>
      </c>
    </row>
    <row r="25" ht="20.25" customHeight="1">
      <c r="A25" s="18" t="n"/>
      <c r="B25" s="18" t="n"/>
      <c r="C25" s="18" t="n"/>
      <c r="D25" s="18" t="n"/>
      <c r="E25" s="19" t="n"/>
      <c r="F25" s="20" t="n"/>
      <c r="G25" s="53" t="n"/>
      <c r="H25" s="54">
        <f>IF(F25="",ROUND(1*G25,2),ROUND(F25*G25,2))</f>
        <v/>
      </c>
    </row>
    <row r="26" ht="20.25" customHeight="1">
      <c r="A26" s="18" t="n"/>
      <c r="B26" s="18" t="n"/>
      <c r="C26" s="18" t="n"/>
      <c r="D26" s="18" t="n"/>
      <c r="E26" s="19" t="n"/>
      <c r="F26" s="20" t="n"/>
      <c r="G26" s="53" t="n"/>
      <c r="H26" s="54">
        <f>IF(F26="",ROUND(1*G26,2),ROUND(F26*G26,2))</f>
        <v/>
      </c>
    </row>
    <row r="27" ht="20.25" customHeight="1">
      <c r="A27" s="18" t="n"/>
      <c r="B27" s="18" t="n"/>
      <c r="C27" s="18" t="n"/>
      <c r="D27" s="18" t="n"/>
      <c r="E27" s="19" t="n"/>
      <c r="F27" s="20" t="n"/>
      <c r="G27" s="53" t="n"/>
      <c r="H27" s="54">
        <f>IF(F27="",ROUND(1*G27,2),ROUND(F27*G27,2))</f>
        <v/>
      </c>
    </row>
    <row r="28" ht="20.25" customHeight="1">
      <c r="A28" s="18" t="n"/>
      <c r="B28" s="18" t="n"/>
      <c r="C28" s="18" t="n"/>
      <c r="D28" s="18" t="n"/>
      <c r="E28" s="19" t="n"/>
      <c r="F28" s="20" t="n"/>
      <c r="G28" s="53" t="n"/>
      <c r="H28" s="54">
        <f>IF(F28="",ROUND(1*G28,2),ROUND(F28*G28,2))</f>
        <v/>
      </c>
    </row>
    <row r="29" ht="20.25" customHeight="1">
      <c r="A29" s="18" t="n"/>
      <c r="B29" s="18" t="n"/>
      <c r="C29" s="18" t="n"/>
      <c r="D29" s="18" t="n"/>
      <c r="E29" s="19" t="n"/>
      <c r="F29" s="20" t="n"/>
      <c r="G29" s="53" t="n"/>
      <c r="H29" s="54">
        <f>IF(F29="",ROUND(1*G29,2),ROUND(F29*G29,2))</f>
        <v/>
      </c>
    </row>
    <row r="30" ht="20.25" customHeight="1">
      <c r="A30" s="22" t="n"/>
      <c r="B30" s="22" t="n"/>
      <c r="C30" s="22" t="n"/>
      <c r="D30" s="22" t="n"/>
      <c r="E30" s="23" t="n"/>
      <c r="F30" s="24" t="n"/>
      <c r="G30" s="55" t="n"/>
      <c r="H30" s="56">
        <f>IF(F30="",ROUND(1*G30,2),ROUND(F30*G30,2))</f>
        <v/>
      </c>
    </row>
    <row r="31" ht="20.25" customFormat="1" customHeight="1" s="2">
      <c r="A31" s="47" t="inlineStr">
        <is>
          <t>合作愉快！</t>
        </is>
      </c>
      <c r="F31" s="48" t="inlineStr">
        <is>
          <t>小計</t>
        </is>
      </c>
      <c r="H31" s="57">
        <f>SUM(H16:H30)</f>
        <v/>
      </c>
      <c r="I31" s="26" t="n"/>
    </row>
    <row r="32" ht="20.25" customHeight="1">
      <c r="A32" s="27" t="n"/>
      <c r="B32" s="28" t="n"/>
      <c r="C32" s="28" t="n"/>
      <c r="D32" s="28" t="n"/>
      <c r="E32" s="28" t="n"/>
      <c r="F32" s="48" t="inlineStr">
        <is>
          <t>稅率</t>
        </is>
      </c>
      <c r="H32" s="58" t="n">
        <v>0.0425</v>
      </c>
    </row>
    <row r="33" ht="20.25" customHeight="1">
      <c r="A33" s="27" t="n"/>
      <c r="B33" s="28" t="n"/>
      <c r="C33" s="28" t="n"/>
      <c r="D33" s="28" t="n"/>
      <c r="E33" s="28" t="n"/>
      <c r="F33" s="48" t="inlineStr">
        <is>
          <t>稅費</t>
        </is>
      </c>
      <c r="G33" s="48" t="n"/>
      <c r="H33" s="57">
        <f>H31*H32</f>
        <v/>
      </c>
    </row>
    <row r="34" ht="20.25" customHeight="1">
      <c r="A34" s="27" t="n"/>
      <c r="B34" s="28" t="n"/>
      <c r="C34" s="28" t="n"/>
      <c r="D34" s="28" t="n"/>
      <c r="E34" s="28" t="n"/>
      <c r="F34" s="30" t="inlineStr">
        <is>
          <t>總計</t>
        </is>
      </c>
      <c r="G34" s="30" t="n"/>
      <c r="H34" s="59">
        <f>H31+H33</f>
        <v/>
      </c>
    </row>
    <row r="35" ht="18" customHeight="1">
      <c r="A35" s="7" t="n"/>
      <c r="B35" s="11" t="n"/>
      <c r="C35" s="11" t="n"/>
      <c r="D35" s="11" t="n"/>
      <c r="E35" s="11" t="n"/>
      <c r="F35" s="60" t="n"/>
      <c r="G35" s="60" t="n"/>
      <c r="H35" s="60" t="n"/>
    </row>
    <row r="36" ht="13.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 ht="13.5" customHeight="1">
      <c r="A37" s="49" t="inlineStr">
        <is>
          <t>如對此發票有疑問，請聯</t>
        </is>
      </c>
    </row>
    <row r="38" ht="13.5" customHeight="1">
      <c r="A38" s="42" t="inlineStr">
        <is>
          <t>李敏、(0755) 123-4567、support@star.example</t>
        </is>
      </c>
    </row>
    <row r="39" ht="16.5" customHeight="1"/>
  </sheetData>
  <mergeCells count="11">
    <mergeCell ref="F4:G4"/>
    <mergeCell ref="G1:H1"/>
    <mergeCell ref="A38:H38"/>
    <mergeCell ref="F5:G5"/>
    <mergeCell ref="F31:G31"/>
    <mergeCell ref="F32:G32"/>
    <mergeCell ref="A31:E31"/>
    <mergeCell ref="A37:H37"/>
    <mergeCell ref="A7:C7"/>
    <mergeCell ref="F7:G7"/>
    <mergeCell ref="F8:G8"/>
  </mergeCells>
  <dataValidations count="1">
    <dataValidation sqref="G1:H1" showDropDown="0" showInputMessage="1" showErrorMessage="1" allowBlank="1" type="list">
      <formula1>"发票,收据"</formula1>
    </dataValidation>
  </dataValidations>
  <printOptions horizontalCentered="1"/>
  <pageMargins left="0.5" right="0.5" top="0.5" bottom="0.5" header="0.5" footer="0.25"/>
  <pageSetup orientation="portrait" paperSize="9" scale="98" fitToHeight="0"/>
</worksheet>
</file>

<file path=xl/worksheets/sheet3.xml><?xml version="1.0" encoding="utf-8"?>
<worksheet xmlns="http://schemas.openxmlformats.org/spreadsheetml/2006/main">
  <sheetPr>
    <tabColor rgb="FFF9A825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cols>
    <col width="101.44140625" customWidth="1" min="1" max="1"/>
  </cols>
  <sheetData>
    <row r="1" ht="290.25" customHeight="1">
      <c r="A1" s="40" t="inlineStr">
        <is>
          <t xml:space="preserve">本工作簿採用統一三表命名（設計稿約定）：
- Target：模板目標效果（填好樣例資料的「成品」外觀，設計時先對照此表）
- Template：引擎模板（寫入雙大括號標記；部署/轉換時以本表為準）
- Description：模板說明（本表）。注意：本表正文不要寫真實雙大括號標記，否則引擎會誤解析。
檔案命名：lesson_m09_service_invoice.xlsx（與教程 template_name 一致）
當前 Template 用到的引擎特性：
1) 內聯模板：如 A4「電話：」+ 標記 ds.issuer_telephone（靜態文案與標記同一單元格）。
2) 公式模板：H16 / H31 / H33 / H34，雙大括號內為雙等號公式；擴充套件後單元格引用會隨填充自動調整。
3) 填充模式 overwrite：A16 明細說明欄位帶 FM=overwrite，不插行，向已有明細區覆蓋寫入並保留版式。
4) 除錯模式：名稱管理器 TemplateOptions.DebugMode；設計階段可開 TRUE；教程線上轉換建議 FALSE。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2022-11-06T05:39:44Z</dcterms:created>
  <dcterms:modified xmlns:dcterms="http://purl.org/dc/terms/" xmlns:xsi="http://www.w3.org/2001/XMLSchema-instance" xsi:type="dcterms:W3CDTF">2026-08-09T11:29:29Z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  <property name="OfficeCLI.Version" fmtid="{D5CDD505-2E9C-101B-9397-08002B2CF9AE}" pid="3">
    <vt:lpwstr xmlns:vt="http://schemas.openxmlformats.org/officeDocument/2006/docPropsVTypes">1.0.143</vt:lpwstr>
  </property>
  <property name="OfficeCLI.LastModified" fmtid="{D5CDD505-2E9C-101B-9397-08002B2CF9AE}" pid="4">
    <vt:lpwstr xmlns:vt="http://schemas.openxmlformats.org/officeDocument/2006/docPropsVTypes">2026-08-09T10:24:49Z</vt:lpwstr>
  </property>
</Properties>
</file>